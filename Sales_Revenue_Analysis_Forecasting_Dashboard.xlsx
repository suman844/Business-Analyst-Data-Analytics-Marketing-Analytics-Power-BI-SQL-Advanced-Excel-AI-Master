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3.xml" ContentType="application/vnd.openxmlformats-officedocument.spreadsheetml.pivotTable+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4.xml" ContentType="application/vnd.openxmlformats-officedocument.drawing+xml"/>
  <Override PartName="/xl/slicers/slicer3.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5.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6.xml" ContentType="application/vnd.openxmlformats-officedocument.drawing+xml"/>
  <Override PartName="/xl/tables/table1.xml" ContentType="application/vnd.openxmlformats-officedocument.spreadsheetml.tab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https://d.docs.live.net/484a322079895c3e/Desktop/Sodexo Data/Study material/Assignment/"/>
    </mc:Choice>
  </mc:AlternateContent>
  <xr:revisionPtr revIDLastSave="5" documentId="8_{BB718E1C-170D-4A39-838D-FC5BC4E05255}" xr6:coauthVersionLast="47" xr6:coauthVersionMax="47" xr10:uidLastSave="{84A5C9A6-5E2E-4E47-BBE6-7C432694F6E4}"/>
  <bookViews>
    <workbookView xWindow="-110" yWindow="-110" windowWidth="19420" windowHeight="10300" firstSheet="5" activeTab="7" xr2:uid="{00000000-000D-0000-FFFF-FFFF00000000}"/>
  </bookViews>
  <sheets>
    <sheet name="Sheet1" sheetId="1" r:id="rId1"/>
    <sheet name="Revenue by Sales person &amp; Produ" sheetId="2" r:id="rId2"/>
    <sheet name="Revenue by region" sheetId="3" r:id="rId3"/>
    <sheet name="Line Chart" sheetId="5" r:id="rId4"/>
    <sheet name="Dashboard" sheetId="6" r:id="rId5"/>
    <sheet name="Regression Analysis" sheetId="7" r:id="rId6"/>
    <sheet name="Forecasting" sheetId="8" r:id="rId7"/>
    <sheet name="Forecasting2" sheetId="11" r:id="rId8"/>
  </sheets>
  <definedNames>
    <definedName name="Slicer_Product">#N/A</definedName>
    <definedName name="Slicer_Region">#N/A</definedName>
    <definedName name="Slicer_Salesperson">#N/A</definedName>
  </definedNames>
  <calcPr calcId="191029"/>
  <pivotCaches>
    <pivotCache cacheId="8"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23" i="8" l="1"/>
  <c r="B25" i="8" s="1"/>
  <c r="B24" i="8"/>
  <c r="B22" i="8"/>
  <c r="C32" i="11"/>
  <c r="C34" i="11"/>
  <c r="C35" i="11"/>
  <c r="C36" i="11"/>
  <c r="C37" i="11"/>
  <c r="C38" i="11"/>
  <c r="C39" i="11"/>
  <c r="C33" i="11"/>
  <c r="B26" i="8" l="1"/>
  <c r="B27" i="8" s="1"/>
  <c r="D33" i="11"/>
  <c r="D36" i="11"/>
  <c r="E36" i="11"/>
  <c r="D35" i="11"/>
  <c r="E39" i="11"/>
  <c r="E35" i="11"/>
  <c r="D38" i="11"/>
  <c r="D34" i="11"/>
  <c r="E34" i="11"/>
  <c r="D37" i="11"/>
  <c r="E37" i="11"/>
  <c r="E33" i="11"/>
  <c r="D39" i="11"/>
  <c r="E38" i="11"/>
  <c r="D32" i="11"/>
  <c r="E32" i="11"/>
  <c r="B29" i="8" l="1"/>
  <c r="B28" i="8"/>
  <c r="B30" i="8" s="1"/>
  <c r="B31" i="8" l="1"/>
</calcChain>
</file>

<file path=xl/sharedStrings.xml><?xml version="1.0" encoding="utf-8"?>
<sst xmlns="http://schemas.openxmlformats.org/spreadsheetml/2006/main" count="97" uniqueCount="23">
  <si>
    <t>Date</t>
  </si>
  <si>
    <t>Salesperson</t>
  </si>
  <si>
    <t>Region</t>
  </si>
  <si>
    <t>Product</t>
  </si>
  <si>
    <t>Units Sold</t>
  </si>
  <si>
    <t>Revenue</t>
  </si>
  <si>
    <t>John</t>
  </si>
  <si>
    <t>North</t>
  </si>
  <si>
    <t>Product A</t>
  </si>
  <si>
    <t>Alice</t>
  </si>
  <si>
    <t>South</t>
  </si>
  <si>
    <t>Product B</t>
  </si>
  <si>
    <t>West</t>
  </si>
  <si>
    <t>Bob</t>
  </si>
  <si>
    <t>East</t>
  </si>
  <si>
    <t>Product C</t>
  </si>
  <si>
    <t>Sum of Revenue</t>
  </si>
  <si>
    <t>Row Labels</t>
  </si>
  <si>
    <t>Grand Total</t>
  </si>
  <si>
    <t>I am not able to understand the questions and also not convered in the class.</t>
  </si>
  <si>
    <t>Forecast(Revenue)</t>
  </si>
  <si>
    <t>Lower Confidence Bound(Revenue)</t>
  </si>
  <si>
    <t>Upper Confidence Bound(Revenue)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</si>
</sst>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quot;$&quot;#,##0.00"/>
  </numFmts>
  <fonts count="4">
    <font>
      <sz val="10"/>
      <color rgb="FF000000"/>
      <name val="Arial"/>
      <scheme val="minor"/>
    </font>
    <font>
      <b/>
      <sz val="10"/>
      <color rgb="FF0D0D0D"/>
      <name val="Söhne"/>
    </font>
    <font>
      <sz val="10"/>
      <color rgb="FF0D0D0D"/>
      <name val="Söhne"/>
    </font>
    <font>
      <sz val="20"/>
      <color rgb="FF000000"/>
      <name val="Arial"/>
      <family val="2"/>
      <scheme val="minor"/>
    </font>
  </fonts>
  <fills count="5">
    <fill>
      <patternFill patternType="none"/>
    </fill>
    <fill>
      <patternFill patternType="gray125"/>
    </fill>
    <fill>
      <patternFill patternType="solid">
        <fgColor rgb="FF00FFFF"/>
        <bgColor rgb="FF00FFFF"/>
      </patternFill>
    </fill>
    <fill>
      <patternFill patternType="solid">
        <fgColor rgb="FFFFFFFF"/>
        <bgColor rgb="FFFFFFFF"/>
      </patternFill>
    </fill>
    <fill>
      <patternFill patternType="solid">
        <fgColor rgb="FFFFFF00"/>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4">
    <xf numFmtId="0" fontId="0" fillId="0" borderId="0" xfId="0" applyFont="1" applyAlignment="1"/>
    <xf numFmtId="0" fontId="1" fillId="2" borderId="1" xfId="0" applyFont="1" applyFill="1" applyBorder="1" applyAlignment="1">
      <alignment horizontal="center"/>
    </xf>
    <xf numFmtId="164" fontId="2" fillId="3" borderId="1" xfId="0" applyNumberFormat="1" applyFont="1" applyFill="1" applyBorder="1" applyAlignment="1">
      <alignment horizontal="left"/>
    </xf>
    <xf numFmtId="0" fontId="2" fillId="3" borderId="1" xfId="0" applyFont="1" applyFill="1" applyBorder="1" applyAlignment="1">
      <alignment horizontal="left"/>
    </xf>
    <xf numFmtId="165" fontId="2" fillId="3" borderId="1" xfId="0" applyNumberFormat="1" applyFont="1" applyFill="1" applyBorder="1" applyAlignment="1">
      <alignment horizontal="left"/>
    </xf>
    <xf numFmtId="0" fontId="0" fillId="0" borderId="0" xfId="0" applyNumberFormat="1" applyFont="1" applyAlignment="1"/>
    <xf numFmtId="0" fontId="0" fillId="0" borderId="0" xfId="0" pivotButton="1" applyFont="1" applyAlignment="1"/>
    <xf numFmtId="0" fontId="0" fillId="0" borderId="0" xfId="0" applyFont="1" applyAlignment="1">
      <alignment horizontal="left"/>
    </xf>
    <xf numFmtId="0" fontId="0" fillId="0" borderId="0" xfId="0" applyFont="1" applyAlignment="1">
      <alignment horizontal="left" indent="1"/>
    </xf>
    <xf numFmtId="164" fontId="0" fillId="0" borderId="0" xfId="0" applyNumberFormat="1" applyFont="1" applyAlignment="1">
      <alignment horizontal="left"/>
    </xf>
    <xf numFmtId="0" fontId="3" fillId="4" borderId="0" xfId="0" applyFont="1" applyFill="1" applyAlignment="1"/>
    <xf numFmtId="0" fontId="0" fillId="4" borderId="0" xfId="0" applyFont="1" applyFill="1" applyAlignment="1"/>
    <xf numFmtId="164" fontId="0" fillId="0" borderId="0" xfId="0" applyNumberFormat="1"/>
    <xf numFmtId="165" fontId="0" fillId="0" borderId="0" xfId="0" applyNumberFormat="1"/>
  </cellXfs>
  <cellStyles count="1">
    <cellStyle name="Normal" xfId="0" builtinId="0"/>
  </cellStyles>
  <dxfs count="4">
    <dxf>
      <numFmt numFmtId="165" formatCode="&quot;$&quot;#,##0.00"/>
    </dxf>
    <dxf>
      <numFmt numFmtId="165" formatCode="&quot;$&quot;#,##0.00"/>
    </dxf>
    <dxf>
      <numFmt numFmtId="165" formatCode="&quot;$&quot;#,##0.00"/>
    </dxf>
    <dxf>
      <numFmt numFmtId="164" formatCode="yyyy\-mm\-dd"/>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4.xlsx]Line Chart!PivotTable3</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'Line Chart'!$B$3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'Line Chart'!$A$4:$A$24</c:f>
              <c:strCache>
                <c:ptCount val="20"/>
                <c:pt idx="0">
                  <c:v>2022-01-01</c:v>
                </c:pt>
                <c:pt idx="1">
                  <c:v>2022-01-02</c:v>
                </c:pt>
                <c:pt idx="2">
                  <c:v>2022-01-03</c:v>
                </c:pt>
                <c:pt idx="3">
                  <c:v>2022-01-04</c:v>
                </c:pt>
                <c:pt idx="4">
                  <c:v>2022-01-05</c:v>
                </c:pt>
                <c:pt idx="5">
                  <c:v>2022-01-06</c:v>
                </c:pt>
                <c:pt idx="6">
                  <c:v>2022-01-07</c:v>
                </c:pt>
                <c:pt idx="7">
                  <c:v>2022-01-08</c:v>
                </c:pt>
                <c:pt idx="8">
                  <c:v>2022-01-09</c:v>
                </c:pt>
                <c:pt idx="9">
                  <c:v>2022-01-10</c:v>
                </c:pt>
                <c:pt idx="10">
                  <c:v>2022-01-11</c:v>
                </c:pt>
                <c:pt idx="11">
                  <c:v>2022-01-12</c:v>
                </c:pt>
                <c:pt idx="12">
                  <c:v>2022-01-13</c:v>
                </c:pt>
                <c:pt idx="13">
                  <c:v>2022-01-14</c:v>
                </c:pt>
                <c:pt idx="14">
                  <c:v>2022-01-15</c:v>
                </c:pt>
                <c:pt idx="15">
                  <c:v>2022-01-16</c:v>
                </c:pt>
                <c:pt idx="16">
                  <c:v>2022-01-17</c:v>
                </c:pt>
                <c:pt idx="17">
                  <c:v>2022-01-18</c:v>
                </c:pt>
                <c:pt idx="18">
                  <c:v>2022-01-19</c:v>
                </c:pt>
                <c:pt idx="19">
                  <c:v>2022-01-20</c:v>
                </c:pt>
              </c:strCache>
            </c:strRef>
          </c:cat>
          <c:val>
            <c:numRef>
              <c:f>'Line Chart'!$B$4:$B$24</c:f>
              <c:numCache>
                <c:formatCode>General</c:formatCode>
                <c:ptCount val="20"/>
                <c:pt idx="0">
                  <c:v>1000</c:v>
                </c:pt>
                <c:pt idx="1">
                  <c:v>1200</c:v>
                </c:pt>
                <c:pt idx="2">
                  <c:v>1500</c:v>
                </c:pt>
                <c:pt idx="3">
                  <c:v>800</c:v>
                </c:pt>
                <c:pt idx="4">
                  <c:v>1100</c:v>
                </c:pt>
                <c:pt idx="5">
                  <c:v>1300</c:v>
                </c:pt>
                <c:pt idx="6">
                  <c:v>900</c:v>
                </c:pt>
                <c:pt idx="7">
                  <c:v>1250</c:v>
                </c:pt>
                <c:pt idx="8">
                  <c:v>1450</c:v>
                </c:pt>
                <c:pt idx="9">
                  <c:v>1150</c:v>
                </c:pt>
                <c:pt idx="10">
                  <c:v>1400</c:v>
                </c:pt>
                <c:pt idx="11">
                  <c:v>1550</c:v>
                </c:pt>
                <c:pt idx="12">
                  <c:v>1200</c:v>
                </c:pt>
                <c:pt idx="13">
                  <c:v>1350</c:v>
                </c:pt>
                <c:pt idx="14">
                  <c:v>1250</c:v>
                </c:pt>
                <c:pt idx="15">
                  <c:v>1600</c:v>
                </c:pt>
                <c:pt idx="16">
                  <c:v>1150</c:v>
                </c:pt>
                <c:pt idx="17">
                  <c:v>1450</c:v>
                </c:pt>
                <c:pt idx="18">
                  <c:v>1400</c:v>
                </c:pt>
                <c:pt idx="19">
                  <c:v>1500</c:v>
                </c:pt>
              </c:numCache>
            </c:numRef>
          </c:val>
          <c:smooth val="0"/>
          <c:extLst>
            <c:ext xmlns:c16="http://schemas.microsoft.com/office/drawing/2014/chart" uri="{C3380CC4-5D6E-409C-BE32-E72D297353CC}">
              <c16:uniqueId val="{00000000-6FA3-4407-BC0A-D8B12AECA127}"/>
            </c:ext>
          </c:extLst>
        </c:ser>
        <c:dLbls>
          <c:showLegendKey val="0"/>
          <c:showVal val="0"/>
          <c:showCatName val="0"/>
          <c:showSerName val="0"/>
          <c:showPercent val="0"/>
          <c:showBubbleSize val="0"/>
        </c:dLbls>
        <c:marker val="1"/>
        <c:smooth val="0"/>
        <c:axId val="742616176"/>
        <c:axId val="742615696"/>
      </c:lineChart>
      <c:catAx>
        <c:axId val="742616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2615696"/>
        <c:crosses val="autoZero"/>
        <c:auto val="1"/>
        <c:lblAlgn val="ctr"/>
        <c:lblOffset val="100"/>
        <c:noMultiLvlLbl val="0"/>
      </c:catAx>
      <c:valAx>
        <c:axId val="7426156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2616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4.xlsx]Line Chart!PivotTable3</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'Line Chart'!$B$3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'Line Chart'!$A$4:$A$24</c:f>
              <c:strCache>
                <c:ptCount val="20"/>
                <c:pt idx="0">
                  <c:v>2022-01-01</c:v>
                </c:pt>
                <c:pt idx="1">
                  <c:v>2022-01-02</c:v>
                </c:pt>
                <c:pt idx="2">
                  <c:v>2022-01-03</c:v>
                </c:pt>
                <c:pt idx="3">
                  <c:v>2022-01-04</c:v>
                </c:pt>
                <c:pt idx="4">
                  <c:v>2022-01-05</c:v>
                </c:pt>
                <c:pt idx="5">
                  <c:v>2022-01-06</c:v>
                </c:pt>
                <c:pt idx="6">
                  <c:v>2022-01-07</c:v>
                </c:pt>
                <c:pt idx="7">
                  <c:v>2022-01-08</c:v>
                </c:pt>
                <c:pt idx="8">
                  <c:v>2022-01-09</c:v>
                </c:pt>
                <c:pt idx="9">
                  <c:v>2022-01-10</c:v>
                </c:pt>
                <c:pt idx="10">
                  <c:v>2022-01-11</c:v>
                </c:pt>
                <c:pt idx="11">
                  <c:v>2022-01-12</c:v>
                </c:pt>
                <c:pt idx="12">
                  <c:v>2022-01-13</c:v>
                </c:pt>
                <c:pt idx="13">
                  <c:v>2022-01-14</c:v>
                </c:pt>
                <c:pt idx="14">
                  <c:v>2022-01-15</c:v>
                </c:pt>
                <c:pt idx="15">
                  <c:v>2022-01-16</c:v>
                </c:pt>
                <c:pt idx="16">
                  <c:v>2022-01-17</c:v>
                </c:pt>
                <c:pt idx="17">
                  <c:v>2022-01-18</c:v>
                </c:pt>
                <c:pt idx="18">
                  <c:v>2022-01-19</c:v>
                </c:pt>
                <c:pt idx="19">
                  <c:v>2022-01-20</c:v>
                </c:pt>
              </c:strCache>
            </c:strRef>
          </c:cat>
          <c:val>
            <c:numRef>
              <c:f>'Line Chart'!$B$4:$B$24</c:f>
              <c:numCache>
                <c:formatCode>General</c:formatCode>
                <c:ptCount val="20"/>
                <c:pt idx="0">
                  <c:v>1000</c:v>
                </c:pt>
                <c:pt idx="1">
                  <c:v>1200</c:v>
                </c:pt>
                <c:pt idx="2">
                  <c:v>1500</c:v>
                </c:pt>
                <c:pt idx="3">
                  <c:v>800</c:v>
                </c:pt>
                <c:pt idx="4">
                  <c:v>1100</c:v>
                </c:pt>
                <c:pt idx="5">
                  <c:v>1300</c:v>
                </c:pt>
                <c:pt idx="6">
                  <c:v>900</c:v>
                </c:pt>
                <c:pt idx="7">
                  <c:v>1250</c:v>
                </c:pt>
                <c:pt idx="8">
                  <c:v>1450</c:v>
                </c:pt>
                <c:pt idx="9">
                  <c:v>1150</c:v>
                </c:pt>
                <c:pt idx="10">
                  <c:v>1400</c:v>
                </c:pt>
                <c:pt idx="11">
                  <c:v>1550</c:v>
                </c:pt>
                <c:pt idx="12">
                  <c:v>1200</c:v>
                </c:pt>
                <c:pt idx="13">
                  <c:v>1350</c:v>
                </c:pt>
                <c:pt idx="14">
                  <c:v>1250</c:v>
                </c:pt>
                <c:pt idx="15">
                  <c:v>1600</c:v>
                </c:pt>
                <c:pt idx="16">
                  <c:v>1150</c:v>
                </c:pt>
                <c:pt idx="17">
                  <c:v>1450</c:v>
                </c:pt>
                <c:pt idx="18">
                  <c:v>1400</c:v>
                </c:pt>
                <c:pt idx="19">
                  <c:v>1500</c:v>
                </c:pt>
              </c:numCache>
            </c:numRef>
          </c:val>
          <c:smooth val="0"/>
          <c:extLst>
            <c:ext xmlns:c16="http://schemas.microsoft.com/office/drawing/2014/chart" uri="{C3380CC4-5D6E-409C-BE32-E72D297353CC}">
              <c16:uniqueId val="{00000000-331D-411D-A355-CD29EABC29D6}"/>
            </c:ext>
          </c:extLst>
        </c:ser>
        <c:dLbls>
          <c:showLegendKey val="0"/>
          <c:showVal val="0"/>
          <c:showCatName val="0"/>
          <c:showSerName val="0"/>
          <c:showPercent val="0"/>
          <c:showBubbleSize val="0"/>
        </c:dLbls>
        <c:marker val="1"/>
        <c:smooth val="0"/>
        <c:axId val="742616176"/>
        <c:axId val="742615696"/>
      </c:lineChart>
      <c:catAx>
        <c:axId val="742616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2615696"/>
        <c:crosses val="autoZero"/>
        <c:auto val="1"/>
        <c:lblAlgn val="ctr"/>
        <c:lblOffset val="100"/>
        <c:noMultiLvlLbl val="0"/>
      </c:catAx>
      <c:valAx>
        <c:axId val="7426156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2616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poly"/>
            <c:order val="2"/>
            <c:forward val="10"/>
            <c:dispRSqr val="0"/>
            <c:dispEq val="0"/>
          </c:trendline>
          <c:trendline>
            <c:spPr>
              <a:ln w="19050" cap="rnd">
                <a:solidFill>
                  <a:schemeClr val="accent1"/>
                </a:solidFill>
                <a:prstDash val="sysDot"/>
              </a:ln>
              <a:effectLst/>
            </c:spPr>
            <c:trendlineType val="linear"/>
            <c:forward val="7"/>
            <c:intercept val="0"/>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cat>
            <c:numRef>
              <c:f>Forecasting!$A$2:$A$31</c:f>
              <c:numCache>
                <c:formatCode>yyyy\-mm\-dd</c:formatCode>
                <c:ptCount val="30"/>
                <c:pt idx="0">
                  <c:v>44562</c:v>
                </c:pt>
                <c:pt idx="1">
                  <c:v>44563</c:v>
                </c:pt>
                <c:pt idx="2">
                  <c:v>44564</c:v>
                </c:pt>
                <c:pt idx="3">
                  <c:v>44565</c:v>
                </c:pt>
                <c:pt idx="4">
                  <c:v>44566</c:v>
                </c:pt>
                <c:pt idx="5">
                  <c:v>44567</c:v>
                </c:pt>
                <c:pt idx="6">
                  <c:v>44568</c:v>
                </c:pt>
                <c:pt idx="7">
                  <c:v>44569</c:v>
                </c:pt>
                <c:pt idx="8">
                  <c:v>44570</c:v>
                </c:pt>
                <c:pt idx="9">
                  <c:v>44571</c:v>
                </c:pt>
                <c:pt idx="10">
                  <c:v>44572</c:v>
                </c:pt>
                <c:pt idx="11">
                  <c:v>44573</c:v>
                </c:pt>
                <c:pt idx="12">
                  <c:v>44574</c:v>
                </c:pt>
                <c:pt idx="13">
                  <c:v>44575</c:v>
                </c:pt>
                <c:pt idx="14">
                  <c:v>44576</c:v>
                </c:pt>
                <c:pt idx="15">
                  <c:v>44577</c:v>
                </c:pt>
                <c:pt idx="16">
                  <c:v>44578</c:v>
                </c:pt>
                <c:pt idx="17">
                  <c:v>44579</c:v>
                </c:pt>
                <c:pt idx="18">
                  <c:v>44580</c:v>
                </c:pt>
                <c:pt idx="19">
                  <c:v>44581</c:v>
                </c:pt>
                <c:pt idx="20">
                  <c:v>44582</c:v>
                </c:pt>
                <c:pt idx="21">
                  <c:v>44583</c:v>
                </c:pt>
                <c:pt idx="22">
                  <c:v>44584</c:v>
                </c:pt>
                <c:pt idx="23">
                  <c:v>44585</c:v>
                </c:pt>
                <c:pt idx="24">
                  <c:v>44586</c:v>
                </c:pt>
                <c:pt idx="25">
                  <c:v>44587</c:v>
                </c:pt>
                <c:pt idx="26">
                  <c:v>44588</c:v>
                </c:pt>
                <c:pt idx="27">
                  <c:v>44589</c:v>
                </c:pt>
                <c:pt idx="28">
                  <c:v>44590</c:v>
                </c:pt>
                <c:pt idx="29">
                  <c:v>44591</c:v>
                </c:pt>
              </c:numCache>
            </c:numRef>
          </c:cat>
          <c:val>
            <c:numRef>
              <c:f>Forecasting!$B$2:$B$31</c:f>
              <c:numCache>
                <c:formatCode>"$"#,##0.00</c:formatCode>
                <c:ptCount val="30"/>
                <c:pt idx="0">
                  <c:v>1000</c:v>
                </c:pt>
                <c:pt idx="1">
                  <c:v>1200</c:v>
                </c:pt>
                <c:pt idx="2">
                  <c:v>1500</c:v>
                </c:pt>
                <c:pt idx="3">
                  <c:v>800</c:v>
                </c:pt>
                <c:pt idx="4">
                  <c:v>1100</c:v>
                </c:pt>
                <c:pt idx="5">
                  <c:v>1300</c:v>
                </c:pt>
                <c:pt idx="6">
                  <c:v>900</c:v>
                </c:pt>
                <c:pt idx="7">
                  <c:v>1250</c:v>
                </c:pt>
                <c:pt idx="8">
                  <c:v>1450</c:v>
                </c:pt>
                <c:pt idx="9">
                  <c:v>1150</c:v>
                </c:pt>
                <c:pt idx="10">
                  <c:v>1400</c:v>
                </c:pt>
                <c:pt idx="11">
                  <c:v>1550</c:v>
                </c:pt>
                <c:pt idx="12">
                  <c:v>1200</c:v>
                </c:pt>
                <c:pt idx="13">
                  <c:v>1350</c:v>
                </c:pt>
                <c:pt idx="14">
                  <c:v>1250</c:v>
                </c:pt>
                <c:pt idx="15">
                  <c:v>1600</c:v>
                </c:pt>
                <c:pt idx="16">
                  <c:v>1150</c:v>
                </c:pt>
                <c:pt idx="17">
                  <c:v>1450</c:v>
                </c:pt>
                <c:pt idx="18">
                  <c:v>1400</c:v>
                </c:pt>
                <c:pt idx="19">
                  <c:v>1500</c:v>
                </c:pt>
                <c:pt idx="20" formatCode="General">
                  <c:v>1473.9473684210097</c:v>
                </c:pt>
                <c:pt idx="21" formatCode="General">
                  <c:v>1481.8947368421359</c:v>
                </c:pt>
                <c:pt idx="22" formatCode="General">
                  <c:v>1507.1060941827018</c:v>
                </c:pt>
                <c:pt idx="23" formatCode="General">
                  <c:v>1567.6455955679994</c:v>
                </c:pt>
                <c:pt idx="24" formatCode="General">
                  <c:v>1559.1281641637906</c:v>
                </c:pt>
                <c:pt idx="25" formatCode="General">
                  <c:v>1571.523368654307</c:v>
                </c:pt>
                <c:pt idx="26" formatCode="General">
                  <c:v>1602.3061167139094</c:v>
                </c:pt>
                <c:pt idx="27" formatCode="General">
                  <c:v>1588.6424138278235</c:v>
                </c:pt>
                <c:pt idx="28" formatCode="General">
                  <c:v>1601.6832422058797</c:v>
                </c:pt>
                <c:pt idx="29" formatCode="General">
                  <c:v>1635.1431455147685</c:v>
                </c:pt>
              </c:numCache>
            </c:numRef>
          </c:val>
          <c:smooth val="0"/>
          <c:extLst>
            <c:ext xmlns:c16="http://schemas.microsoft.com/office/drawing/2014/chart" uri="{C3380CC4-5D6E-409C-BE32-E72D297353CC}">
              <c16:uniqueId val="{00000000-F59B-4C0A-A6BF-B4C6546EB08A}"/>
            </c:ext>
          </c:extLst>
        </c:ser>
        <c:dLbls>
          <c:showLegendKey val="0"/>
          <c:showVal val="0"/>
          <c:showCatName val="0"/>
          <c:showSerName val="0"/>
          <c:showPercent val="0"/>
          <c:showBubbleSize val="0"/>
        </c:dLbls>
        <c:smooth val="0"/>
        <c:axId val="811579456"/>
        <c:axId val="811580416"/>
      </c:lineChart>
      <c:dateAx>
        <c:axId val="811579456"/>
        <c:scaling>
          <c:orientation val="minMax"/>
        </c:scaling>
        <c:delete val="0"/>
        <c:axPos val="b"/>
        <c:numFmt formatCode="yyyy\-mm\-dd"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1580416"/>
        <c:crosses val="autoZero"/>
        <c:auto val="1"/>
        <c:lblOffset val="100"/>
        <c:baseTimeUnit val="days"/>
      </c:dateAx>
      <c:valAx>
        <c:axId val="81158041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15794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Forecasting2!$B$1</c:f>
              <c:strCache>
                <c:ptCount val="1"/>
                <c:pt idx="0">
                  <c:v>Revenue</c:v>
                </c:pt>
              </c:strCache>
            </c:strRef>
          </c:tx>
          <c:spPr>
            <a:ln w="28575" cap="rnd">
              <a:solidFill>
                <a:schemeClr val="accent1"/>
              </a:solidFill>
              <a:round/>
            </a:ln>
            <a:effectLst/>
          </c:spPr>
          <c:marker>
            <c:symbol val="none"/>
          </c:marker>
          <c:val>
            <c:numRef>
              <c:f>Forecasting2!$B$2:$B$39</c:f>
              <c:numCache>
                <c:formatCode>"$"#,##0.00</c:formatCode>
                <c:ptCount val="38"/>
                <c:pt idx="0">
                  <c:v>1000</c:v>
                </c:pt>
                <c:pt idx="1">
                  <c:v>1200</c:v>
                </c:pt>
                <c:pt idx="2">
                  <c:v>1500</c:v>
                </c:pt>
                <c:pt idx="3">
                  <c:v>800</c:v>
                </c:pt>
                <c:pt idx="4">
                  <c:v>1100</c:v>
                </c:pt>
                <c:pt idx="5">
                  <c:v>1300</c:v>
                </c:pt>
                <c:pt idx="6">
                  <c:v>900</c:v>
                </c:pt>
                <c:pt idx="7">
                  <c:v>1250</c:v>
                </c:pt>
                <c:pt idx="8">
                  <c:v>1450</c:v>
                </c:pt>
                <c:pt idx="9">
                  <c:v>1150</c:v>
                </c:pt>
                <c:pt idx="10">
                  <c:v>1400</c:v>
                </c:pt>
                <c:pt idx="11">
                  <c:v>1550</c:v>
                </c:pt>
                <c:pt idx="12">
                  <c:v>1200</c:v>
                </c:pt>
                <c:pt idx="13">
                  <c:v>1350</c:v>
                </c:pt>
                <c:pt idx="14">
                  <c:v>1250</c:v>
                </c:pt>
                <c:pt idx="15">
                  <c:v>1600</c:v>
                </c:pt>
                <c:pt idx="16">
                  <c:v>1150</c:v>
                </c:pt>
                <c:pt idx="17">
                  <c:v>1450</c:v>
                </c:pt>
                <c:pt idx="18">
                  <c:v>1400</c:v>
                </c:pt>
                <c:pt idx="19">
                  <c:v>1500</c:v>
                </c:pt>
                <c:pt idx="20">
                  <c:v>1473.9473684210097</c:v>
                </c:pt>
                <c:pt idx="21">
                  <c:v>1481.8947368421359</c:v>
                </c:pt>
                <c:pt idx="22">
                  <c:v>1507.1060941827018</c:v>
                </c:pt>
                <c:pt idx="23">
                  <c:v>1567.6455955679994</c:v>
                </c:pt>
                <c:pt idx="24">
                  <c:v>1559.1281641637906</c:v>
                </c:pt>
                <c:pt idx="25">
                  <c:v>1571.523368654307</c:v>
                </c:pt>
                <c:pt idx="26">
                  <c:v>1602.3061167139094</c:v>
                </c:pt>
                <c:pt idx="27">
                  <c:v>1588.6424138278235</c:v>
                </c:pt>
                <c:pt idx="28">
                  <c:v>1601.6832422058797</c:v>
                </c:pt>
                <c:pt idx="29">
                  <c:v>1635.1431455147685</c:v>
                </c:pt>
              </c:numCache>
            </c:numRef>
          </c:val>
          <c:smooth val="0"/>
          <c:extLst>
            <c:ext xmlns:c16="http://schemas.microsoft.com/office/drawing/2014/chart" uri="{C3380CC4-5D6E-409C-BE32-E72D297353CC}">
              <c16:uniqueId val="{00000000-99B0-4D8F-BA21-06498377965A}"/>
            </c:ext>
          </c:extLst>
        </c:ser>
        <c:ser>
          <c:idx val="1"/>
          <c:order val="1"/>
          <c:tx>
            <c:strRef>
              <c:f>Forecasting2!$C$1</c:f>
              <c:strCache>
                <c:ptCount val="1"/>
                <c:pt idx="0">
                  <c:v>Forecast(Revenue)</c:v>
                </c:pt>
              </c:strCache>
            </c:strRef>
          </c:tx>
          <c:spPr>
            <a:ln w="25400" cap="rnd">
              <a:solidFill>
                <a:schemeClr val="accent2"/>
              </a:solidFill>
              <a:round/>
            </a:ln>
            <a:effectLst/>
          </c:spPr>
          <c:marker>
            <c:symbol val="none"/>
          </c:marker>
          <c:cat>
            <c:numRef>
              <c:f>Forecasting2!$A$2:$A$39</c:f>
              <c:numCache>
                <c:formatCode>yyyy\-mm\-dd</c:formatCode>
                <c:ptCount val="38"/>
                <c:pt idx="0">
                  <c:v>44562</c:v>
                </c:pt>
                <c:pt idx="1">
                  <c:v>44563</c:v>
                </c:pt>
                <c:pt idx="2">
                  <c:v>44564</c:v>
                </c:pt>
                <c:pt idx="3">
                  <c:v>44565</c:v>
                </c:pt>
                <c:pt idx="4">
                  <c:v>44566</c:v>
                </c:pt>
                <c:pt idx="5">
                  <c:v>44567</c:v>
                </c:pt>
                <c:pt idx="6">
                  <c:v>44568</c:v>
                </c:pt>
                <c:pt idx="7">
                  <c:v>44569</c:v>
                </c:pt>
                <c:pt idx="8">
                  <c:v>44570</c:v>
                </c:pt>
                <c:pt idx="9">
                  <c:v>44571</c:v>
                </c:pt>
                <c:pt idx="10">
                  <c:v>44572</c:v>
                </c:pt>
                <c:pt idx="11">
                  <c:v>44573</c:v>
                </c:pt>
                <c:pt idx="12">
                  <c:v>44574</c:v>
                </c:pt>
                <c:pt idx="13">
                  <c:v>44575</c:v>
                </c:pt>
                <c:pt idx="14">
                  <c:v>44576</c:v>
                </c:pt>
                <c:pt idx="15">
                  <c:v>44577</c:v>
                </c:pt>
                <c:pt idx="16">
                  <c:v>44578</c:v>
                </c:pt>
                <c:pt idx="17">
                  <c:v>44579</c:v>
                </c:pt>
                <c:pt idx="18">
                  <c:v>44580</c:v>
                </c:pt>
                <c:pt idx="19">
                  <c:v>44581</c:v>
                </c:pt>
                <c:pt idx="20">
                  <c:v>44582</c:v>
                </c:pt>
                <c:pt idx="21">
                  <c:v>44583</c:v>
                </c:pt>
                <c:pt idx="22">
                  <c:v>44584</c:v>
                </c:pt>
                <c:pt idx="23">
                  <c:v>44585</c:v>
                </c:pt>
                <c:pt idx="24">
                  <c:v>44586</c:v>
                </c:pt>
                <c:pt idx="25">
                  <c:v>44587</c:v>
                </c:pt>
                <c:pt idx="26">
                  <c:v>44588</c:v>
                </c:pt>
                <c:pt idx="27">
                  <c:v>44589</c:v>
                </c:pt>
                <c:pt idx="28">
                  <c:v>44590</c:v>
                </c:pt>
                <c:pt idx="29">
                  <c:v>44591</c:v>
                </c:pt>
                <c:pt idx="30">
                  <c:v>44592</c:v>
                </c:pt>
                <c:pt idx="31">
                  <c:v>44593</c:v>
                </c:pt>
                <c:pt idx="32">
                  <c:v>44594</c:v>
                </c:pt>
                <c:pt idx="33">
                  <c:v>44595</c:v>
                </c:pt>
                <c:pt idx="34">
                  <c:v>44596</c:v>
                </c:pt>
                <c:pt idx="35">
                  <c:v>44597</c:v>
                </c:pt>
                <c:pt idx="36">
                  <c:v>44598</c:v>
                </c:pt>
                <c:pt idx="37">
                  <c:v>44599</c:v>
                </c:pt>
              </c:numCache>
            </c:numRef>
          </c:cat>
          <c:val>
            <c:numRef>
              <c:f>Forecasting2!$C$2:$C$39</c:f>
              <c:numCache>
                <c:formatCode>General</c:formatCode>
                <c:ptCount val="38"/>
                <c:pt idx="29" formatCode="&quot;$&quot;#,##0.00">
                  <c:v>1635.1431455147685</c:v>
                </c:pt>
                <c:pt idx="30" formatCode="&quot;$&quot;#,##0.00">
                  <c:v>1664.2599290772039</c:v>
                </c:pt>
                <c:pt idx="31" formatCode="&quot;$&quot;#,##0.00">
                  <c:v>1683.9132701072406</c:v>
                </c:pt>
                <c:pt idx="32" formatCode="&quot;$&quot;#,##0.00">
                  <c:v>1703.5666111372775</c:v>
                </c:pt>
                <c:pt idx="33" formatCode="&quot;$&quot;#,##0.00">
                  <c:v>1723.2199521673142</c:v>
                </c:pt>
                <c:pt idx="34" formatCode="&quot;$&quot;#,##0.00">
                  <c:v>1742.8732931973509</c:v>
                </c:pt>
                <c:pt idx="35" formatCode="&quot;$&quot;#,##0.00">
                  <c:v>1762.5266342273876</c:v>
                </c:pt>
                <c:pt idx="36" formatCode="&quot;$&quot;#,##0.00">
                  <c:v>1782.1799752574243</c:v>
                </c:pt>
                <c:pt idx="37" formatCode="&quot;$&quot;#,##0.00">
                  <c:v>1801.8333162874612</c:v>
                </c:pt>
              </c:numCache>
            </c:numRef>
          </c:val>
          <c:smooth val="0"/>
          <c:extLst>
            <c:ext xmlns:c16="http://schemas.microsoft.com/office/drawing/2014/chart" uri="{C3380CC4-5D6E-409C-BE32-E72D297353CC}">
              <c16:uniqueId val="{00000001-99B0-4D8F-BA21-06498377965A}"/>
            </c:ext>
          </c:extLst>
        </c:ser>
        <c:ser>
          <c:idx val="2"/>
          <c:order val="2"/>
          <c:tx>
            <c:strRef>
              <c:f>Forecasting2!$D$1</c:f>
              <c:strCache>
                <c:ptCount val="1"/>
                <c:pt idx="0">
                  <c:v>Lower Confidence Bound(Revenue)</c:v>
                </c:pt>
              </c:strCache>
            </c:strRef>
          </c:tx>
          <c:spPr>
            <a:ln w="12700" cap="rnd">
              <a:solidFill>
                <a:srgbClr val="EA4335"/>
              </a:solidFill>
              <a:prstDash val="solid"/>
              <a:round/>
            </a:ln>
            <a:effectLst/>
          </c:spPr>
          <c:marker>
            <c:symbol val="none"/>
          </c:marker>
          <c:cat>
            <c:numRef>
              <c:f>Forecasting2!$A$2:$A$39</c:f>
              <c:numCache>
                <c:formatCode>yyyy\-mm\-dd</c:formatCode>
                <c:ptCount val="38"/>
                <c:pt idx="0">
                  <c:v>44562</c:v>
                </c:pt>
                <c:pt idx="1">
                  <c:v>44563</c:v>
                </c:pt>
                <c:pt idx="2">
                  <c:v>44564</c:v>
                </c:pt>
                <c:pt idx="3">
                  <c:v>44565</c:v>
                </c:pt>
                <c:pt idx="4">
                  <c:v>44566</c:v>
                </c:pt>
                <c:pt idx="5">
                  <c:v>44567</c:v>
                </c:pt>
                <c:pt idx="6">
                  <c:v>44568</c:v>
                </c:pt>
                <c:pt idx="7">
                  <c:v>44569</c:v>
                </c:pt>
                <c:pt idx="8">
                  <c:v>44570</c:v>
                </c:pt>
                <c:pt idx="9">
                  <c:v>44571</c:v>
                </c:pt>
                <c:pt idx="10">
                  <c:v>44572</c:v>
                </c:pt>
                <c:pt idx="11">
                  <c:v>44573</c:v>
                </c:pt>
                <c:pt idx="12">
                  <c:v>44574</c:v>
                </c:pt>
                <c:pt idx="13">
                  <c:v>44575</c:v>
                </c:pt>
                <c:pt idx="14">
                  <c:v>44576</c:v>
                </c:pt>
                <c:pt idx="15">
                  <c:v>44577</c:v>
                </c:pt>
                <c:pt idx="16">
                  <c:v>44578</c:v>
                </c:pt>
                <c:pt idx="17">
                  <c:v>44579</c:v>
                </c:pt>
                <c:pt idx="18">
                  <c:v>44580</c:v>
                </c:pt>
                <c:pt idx="19">
                  <c:v>44581</c:v>
                </c:pt>
                <c:pt idx="20">
                  <c:v>44582</c:v>
                </c:pt>
                <c:pt idx="21">
                  <c:v>44583</c:v>
                </c:pt>
                <c:pt idx="22">
                  <c:v>44584</c:v>
                </c:pt>
                <c:pt idx="23">
                  <c:v>44585</c:v>
                </c:pt>
                <c:pt idx="24">
                  <c:v>44586</c:v>
                </c:pt>
                <c:pt idx="25">
                  <c:v>44587</c:v>
                </c:pt>
                <c:pt idx="26">
                  <c:v>44588</c:v>
                </c:pt>
                <c:pt idx="27">
                  <c:v>44589</c:v>
                </c:pt>
                <c:pt idx="28">
                  <c:v>44590</c:v>
                </c:pt>
                <c:pt idx="29">
                  <c:v>44591</c:v>
                </c:pt>
                <c:pt idx="30">
                  <c:v>44592</c:v>
                </c:pt>
                <c:pt idx="31">
                  <c:v>44593</c:v>
                </c:pt>
                <c:pt idx="32">
                  <c:v>44594</c:v>
                </c:pt>
                <c:pt idx="33">
                  <c:v>44595</c:v>
                </c:pt>
                <c:pt idx="34">
                  <c:v>44596</c:v>
                </c:pt>
                <c:pt idx="35">
                  <c:v>44597</c:v>
                </c:pt>
                <c:pt idx="36">
                  <c:v>44598</c:v>
                </c:pt>
                <c:pt idx="37">
                  <c:v>44599</c:v>
                </c:pt>
              </c:numCache>
            </c:numRef>
          </c:cat>
          <c:val>
            <c:numRef>
              <c:f>Forecasting2!$D$2:$D$39</c:f>
              <c:numCache>
                <c:formatCode>General</c:formatCode>
                <c:ptCount val="38"/>
                <c:pt idx="29" formatCode="&quot;$&quot;#,##0.00">
                  <c:v>1635.1431455147685</c:v>
                </c:pt>
                <c:pt idx="30" formatCode="&quot;$&quot;#,##0.00">
                  <c:v>1432.7575425541033</c:v>
                </c:pt>
                <c:pt idx="31" formatCode="&quot;$&quot;#,##0.00">
                  <c:v>1451.2331016787771</c:v>
                </c:pt>
                <c:pt idx="32" formatCode="&quot;$&quot;#,##0.00">
                  <c:v>1469.691332313364</c:v>
                </c:pt>
                <c:pt idx="33" formatCode="&quot;$&quot;#,##0.00">
                  <c:v>1488.1322707635529</c:v>
                </c:pt>
                <c:pt idx="34" formatCode="&quot;$&quot;#,##0.00">
                  <c:v>1506.5559563912936</c:v>
                </c:pt>
                <c:pt idx="35" formatCode="&quot;$&quot;#,##0.00">
                  <c:v>1524.9624315081933</c:v>
                </c:pt>
                <c:pt idx="36" formatCode="&quot;$&quot;#,##0.00">
                  <c:v>1543.3517412690553</c:v>
                </c:pt>
                <c:pt idx="37" formatCode="&quot;$&quot;#,##0.00">
                  <c:v>1561.7239335657366</c:v>
                </c:pt>
              </c:numCache>
            </c:numRef>
          </c:val>
          <c:smooth val="0"/>
          <c:extLst>
            <c:ext xmlns:c16="http://schemas.microsoft.com/office/drawing/2014/chart" uri="{C3380CC4-5D6E-409C-BE32-E72D297353CC}">
              <c16:uniqueId val="{00000002-99B0-4D8F-BA21-06498377965A}"/>
            </c:ext>
          </c:extLst>
        </c:ser>
        <c:ser>
          <c:idx val="3"/>
          <c:order val="3"/>
          <c:tx>
            <c:strRef>
              <c:f>Forecasting2!$E$1</c:f>
              <c:strCache>
                <c:ptCount val="1"/>
                <c:pt idx="0">
                  <c:v>Upper Confidence Bound(Revenue)</c:v>
                </c:pt>
              </c:strCache>
            </c:strRef>
          </c:tx>
          <c:spPr>
            <a:ln w="12700" cap="rnd">
              <a:solidFill>
                <a:srgbClr val="EA4335"/>
              </a:solidFill>
              <a:prstDash val="solid"/>
              <a:round/>
            </a:ln>
            <a:effectLst/>
          </c:spPr>
          <c:marker>
            <c:symbol val="none"/>
          </c:marker>
          <c:cat>
            <c:numRef>
              <c:f>Forecasting2!$A$2:$A$39</c:f>
              <c:numCache>
                <c:formatCode>yyyy\-mm\-dd</c:formatCode>
                <c:ptCount val="38"/>
                <c:pt idx="0">
                  <c:v>44562</c:v>
                </c:pt>
                <c:pt idx="1">
                  <c:v>44563</c:v>
                </c:pt>
                <c:pt idx="2">
                  <c:v>44564</c:v>
                </c:pt>
                <c:pt idx="3">
                  <c:v>44565</c:v>
                </c:pt>
                <c:pt idx="4">
                  <c:v>44566</c:v>
                </c:pt>
                <c:pt idx="5">
                  <c:v>44567</c:v>
                </c:pt>
                <c:pt idx="6">
                  <c:v>44568</c:v>
                </c:pt>
                <c:pt idx="7">
                  <c:v>44569</c:v>
                </c:pt>
                <c:pt idx="8">
                  <c:v>44570</c:v>
                </c:pt>
                <c:pt idx="9">
                  <c:v>44571</c:v>
                </c:pt>
                <c:pt idx="10">
                  <c:v>44572</c:v>
                </c:pt>
                <c:pt idx="11">
                  <c:v>44573</c:v>
                </c:pt>
                <c:pt idx="12">
                  <c:v>44574</c:v>
                </c:pt>
                <c:pt idx="13">
                  <c:v>44575</c:v>
                </c:pt>
                <c:pt idx="14">
                  <c:v>44576</c:v>
                </c:pt>
                <c:pt idx="15">
                  <c:v>44577</c:v>
                </c:pt>
                <c:pt idx="16">
                  <c:v>44578</c:v>
                </c:pt>
                <c:pt idx="17">
                  <c:v>44579</c:v>
                </c:pt>
                <c:pt idx="18">
                  <c:v>44580</c:v>
                </c:pt>
                <c:pt idx="19">
                  <c:v>44581</c:v>
                </c:pt>
                <c:pt idx="20">
                  <c:v>44582</c:v>
                </c:pt>
                <c:pt idx="21">
                  <c:v>44583</c:v>
                </c:pt>
                <c:pt idx="22">
                  <c:v>44584</c:v>
                </c:pt>
                <c:pt idx="23">
                  <c:v>44585</c:v>
                </c:pt>
                <c:pt idx="24">
                  <c:v>44586</c:v>
                </c:pt>
                <c:pt idx="25">
                  <c:v>44587</c:v>
                </c:pt>
                <c:pt idx="26">
                  <c:v>44588</c:v>
                </c:pt>
                <c:pt idx="27">
                  <c:v>44589</c:v>
                </c:pt>
                <c:pt idx="28">
                  <c:v>44590</c:v>
                </c:pt>
                <c:pt idx="29">
                  <c:v>44591</c:v>
                </c:pt>
                <c:pt idx="30">
                  <c:v>44592</c:v>
                </c:pt>
                <c:pt idx="31">
                  <c:v>44593</c:v>
                </c:pt>
                <c:pt idx="32">
                  <c:v>44594</c:v>
                </c:pt>
                <c:pt idx="33">
                  <c:v>44595</c:v>
                </c:pt>
                <c:pt idx="34">
                  <c:v>44596</c:v>
                </c:pt>
                <c:pt idx="35">
                  <c:v>44597</c:v>
                </c:pt>
                <c:pt idx="36">
                  <c:v>44598</c:v>
                </c:pt>
                <c:pt idx="37">
                  <c:v>44599</c:v>
                </c:pt>
              </c:numCache>
            </c:numRef>
          </c:cat>
          <c:val>
            <c:numRef>
              <c:f>Forecasting2!$E$2:$E$39</c:f>
              <c:numCache>
                <c:formatCode>General</c:formatCode>
                <c:ptCount val="38"/>
                <c:pt idx="29" formatCode="&quot;$&quot;#,##0.00">
                  <c:v>1635.1431455147685</c:v>
                </c:pt>
                <c:pt idx="30" formatCode="&quot;$&quot;#,##0.00">
                  <c:v>1895.7623156003044</c:v>
                </c:pt>
                <c:pt idx="31" formatCode="&quot;$&quot;#,##0.00">
                  <c:v>1916.5934385357041</c:v>
                </c:pt>
                <c:pt idx="32" formatCode="&quot;$&quot;#,##0.00">
                  <c:v>1937.441889961191</c:v>
                </c:pt>
                <c:pt idx="33" formatCode="&quot;$&quot;#,##0.00">
                  <c:v>1958.3076335710755</c:v>
                </c:pt>
                <c:pt idx="34" formatCode="&quot;$&quot;#,##0.00">
                  <c:v>1979.1906300034082</c:v>
                </c:pt>
                <c:pt idx="35" formatCode="&quot;$&quot;#,##0.00">
                  <c:v>2000.0908369465819</c:v>
                </c:pt>
                <c:pt idx="36" formatCode="&quot;$&quot;#,##0.00">
                  <c:v>2021.0082092457933</c:v>
                </c:pt>
                <c:pt idx="37" formatCode="&quot;$&quot;#,##0.00">
                  <c:v>2041.9426990091858</c:v>
                </c:pt>
              </c:numCache>
            </c:numRef>
          </c:val>
          <c:smooth val="0"/>
          <c:extLst>
            <c:ext xmlns:c16="http://schemas.microsoft.com/office/drawing/2014/chart" uri="{C3380CC4-5D6E-409C-BE32-E72D297353CC}">
              <c16:uniqueId val="{00000003-99B0-4D8F-BA21-06498377965A}"/>
            </c:ext>
          </c:extLst>
        </c:ser>
        <c:dLbls>
          <c:showLegendKey val="0"/>
          <c:showVal val="0"/>
          <c:showCatName val="0"/>
          <c:showSerName val="0"/>
          <c:showPercent val="0"/>
          <c:showBubbleSize val="0"/>
        </c:dLbls>
        <c:smooth val="0"/>
        <c:axId val="847267072"/>
        <c:axId val="847268032"/>
      </c:lineChart>
      <c:catAx>
        <c:axId val="847267072"/>
        <c:scaling>
          <c:orientation val="minMax"/>
        </c:scaling>
        <c:delete val="0"/>
        <c:axPos val="b"/>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7268032"/>
        <c:crosses val="autoZero"/>
        <c:auto val="1"/>
        <c:lblAlgn val="ctr"/>
        <c:lblOffset val="100"/>
        <c:noMultiLvlLbl val="0"/>
      </c:catAx>
      <c:valAx>
        <c:axId val="84726803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72670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2</xdr:row>
      <xdr:rowOff>76200</xdr:rowOff>
    </xdr:from>
    <xdr:to>
      <xdr:col>7</xdr:col>
      <xdr:colOff>0</xdr:colOff>
      <xdr:row>9</xdr:row>
      <xdr:rowOff>107950</xdr:rowOff>
    </xdr:to>
    <mc:AlternateContent xmlns:mc="http://schemas.openxmlformats.org/markup-compatibility/2006">
      <mc:Choice xmlns:a14="http://schemas.microsoft.com/office/drawing/2010/main" Requires="a14">
        <xdr:graphicFrame macro="">
          <xdr:nvGraphicFramePr>
            <xdr:cNvPr id="2" name="Salesperson">
              <a:extLst>
                <a:ext uri="{FF2B5EF4-FFF2-40B4-BE49-F238E27FC236}">
                  <a16:creationId xmlns:a16="http://schemas.microsoft.com/office/drawing/2014/main" id="{BF438A7A-075D-B6AB-6CA1-6D4E567F0ABE}"/>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dr:sp macro="" textlink="">
          <xdr:nvSpPr>
            <xdr:cNvPr id="0" name=""/>
            <xdr:cNvSpPr>
              <a:spLocks noTextEdit="1"/>
            </xdr:cNvSpPr>
          </xdr:nvSpPr>
          <xdr:spPr>
            <a:xfrm>
              <a:off x="3175000" y="393700"/>
              <a:ext cx="1828800" cy="1143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603250</xdr:colOff>
      <xdr:row>2</xdr:row>
      <xdr:rowOff>88900</xdr:rowOff>
    </xdr:from>
    <xdr:to>
      <xdr:col>9</xdr:col>
      <xdr:colOff>603250</xdr:colOff>
      <xdr:row>9</xdr:row>
      <xdr:rowOff>95250</xdr:rowOff>
    </xdr:to>
    <mc:AlternateContent xmlns:mc="http://schemas.openxmlformats.org/markup-compatibility/2006">
      <mc:Choice xmlns:a14="http://schemas.microsoft.com/office/drawing/2010/main" Requires="a14">
        <xdr:graphicFrame macro="">
          <xdr:nvGraphicFramePr>
            <xdr:cNvPr id="3" name="Product">
              <a:extLst>
                <a:ext uri="{FF2B5EF4-FFF2-40B4-BE49-F238E27FC236}">
                  <a16:creationId xmlns:a16="http://schemas.microsoft.com/office/drawing/2014/main" id="{4E45E036-8CCD-601D-2223-C11F5E3C3DA0}"/>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4997450" y="406400"/>
              <a:ext cx="1828800" cy="1117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241300</xdr:colOff>
      <xdr:row>4</xdr:row>
      <xdr:rowOff>0</xdr:rowOff>
    </xdr:from>
    <xdr:to>
      <xdr:col>7</xdr:col>
      <xdr:colOff>241300</xdr:colOff>
      <xdr:row>12</xdr:row>
      <xdr:rowOff>101600</xdr:rowOff>
    </xdr:to>
    <mc:AlternateContent xmlns:mc="http://schemas.openxmlformats.org/markup-compatibility/2006">
      <mc:Choice xmlns:a14="http://schemas.microsoft.com/office/drawing/2010/main" Requires="a14">
        <xdr:graphicFrame macro="">
          <xdr:nvGraphicFramePr>
            <xdr:cNvPr id="2" name="Region">
              <a:extLst>
                <a:ext uri="{FF2B5EF4-FFF2-40B4-BE49-F238E27FC236}">
                  <a16:creationId xmlns:a16="http://schemas.microsoft.com/office/drawing/2014/main" id="{B63B551F-3504-331D-0A73-72B7E736010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3416300" y="635000"/>
              <a:ext cx="1828800" cy="1371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393700</xdr:colOff>
      <xdr:row>2</xdr:row>
      <xdr:rowOff>0</xdr:rowOff>
    </xdr:from>
    <xdr:to>
      <xdr:col>11</xdr:col>
      <xdr:colOff>88900</xdr:colOff>
      <xdr:row>19</xdr:row>
      <xdr:rowOff>44450</xdr:rowOff>
    </xdr:to>
    <xdr:graphicFrame macro="">
      <xdr:nvGraphicFramePr>
        <xdr:cNvPr id="2" name="Chart 1">
          <a:extLst>
            <a:ext uri="{FF2B5EF4-FFF2-40B4-BE49-F238E27FC236}">
              <a16:creationId xmlns:a16="http://schemas.microsoft.com/office/drawing/2014/main" id="{80CEFFED-359F-F04C-F792-3CB5E36D54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19050</xdr:colOff>
      <xdr:row>0</xdr:row>
      <xdr:rowOff>19050</xdr:rowOff>
    </xdr:from>
    <xdr:to>
      <xdr:col>3</xdr:col>
      <xdr:colOff>19050</xdr:colOff>
      <xdr:row>8</xdr:row>
      <xdr:rowOff>101600</xdr:rowOff>
    </xdr:to>
    <mc:AlternateContent xmlns:mc="http://schemas.openxmlformats.org/markup-compatibility/2006">
      <mc:Choice xmlns:a14="http://schemas.microsoft.com/office/drawing/2010/main" Requires="a14">
        <xdr:graphicFrame macro="">
          <xdr:nvGraphicFramePr>
            <xdr:cNvPr id="2" name="Salesperson 1">
              <a:extLst>
                <a:ext uri="{FF2B5EF4-FFF2-40B4-BE49-F238E27FC236}">
                  <a16:creationId xmlns:a16="http://schemas.microsoft.com/office/drawing/2014/main" id="{F5FF572F-86AA-4C27-9A6C-0D0B57AFA6BC}"/>
                </a:ext>
              </a:extLst>
            </xdr:cNvPr>
            <xdr:cNvGraphicFramePr/>
          </xdr:nvGraphicFramePr>
          <xdr:xfrm>
            <a:off x="0" y="0"/>
            <a:ext cx="0" cy="0"/>
          </xdr:xfrm>
          <a:graphic>
            <a:graphicData uri="http://schemas.microsoft.com/office/drawing/2010/slicer">
              <sle:slicer xmlns:sle="http://schemas.microsoft.com/office/drawing/2010/slicer" name="Salesperson 1"/>
            </a:graphicData>
          </a:graphic>
        </xdr:graphicFrame>
      </mc:Choice>
      <mc:Fallback>
        <xdr:sp macro="" textlink="">
          <xdr:nvSpPr>
            <xdr:cNvPr id="0" name=""/>
            <xdr:cNvSpPr>
              <a:spLocks noTextEdit="1"/>
            </xdr:cNvSpPr>
          </xdr:nvSpPr>
          <xdr:spPr>
            <a:xfrm>
              <a:off x="19050" y="19050"/>
              <a:ext cx="1828800" cy="13525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603250</xdr:colOff>
      <xdr:row>0</xdr:row>
      <xdr:rowOff>12700</xdr:rowOff>
    </xdr:from>
    <xdr:to>
      <xdr:col>5</xdr:col>
      <xdr:colOff>603250</xdr:colOff>
      <xdr:row>8</xdr:row>
      <xdr:rowOff>101600</xdr:rowOff>
    </xdr:to>
    <mc:AlternateContent xmlns:mc="http://schemas.openxmlformats.org/markup-compatibility/2006">
      <mc:Choice xmlns:a14="http://schemas.microsoft.com/office/drawing/2010/main" Requires="a14">
        <xdr:graphicFrame macro="">
          <xdr:nvGraphicFramePr>
            <xdr:cNvPr id="3" name="Product 1">
              <a:extLst>
                <a:ext uri="{FF2B5EF4-FFF2-40B4-BE49-F238E27FC236}">
                  <a16:creationId xmlns:a16="http://schemas.microsoft.com/office/drawing/2014/main" id="{5A654EC3-3BFB-42E2-A51B-FAB0DFAA8002}"/>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1822450" y="12700"/>
              <a:ext cx="1828800" cy="1358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0</xdr:colOff>
      <xdr:row>0</xdr:row>
      <xdr:rowOff>0</xdr:rowOff>
    </xdr:from>
    <xdr:to>
      <xdr:col>9</xdr:col>
      <xdr:colOff>0</xdr:colOff>
      <xdr:row>8</xdr:row>
      <xdr:rowOff>101600</xdr:rowOff>
    </xdr:to>
    <mc:AlternateContent xmlns:mc="http://schemas.openxmlformats.org/markup-compatibility/2006">
      <mc:Choice xmlns:a14="http://schemas.microsoft.com/office/drawing/2010/main" Requires="a14">
        <xdr:graphicFrame macro="">
          <xdr:nvGraphicFramePr>
            <xdr:cNvPr id="4" name="Region 1">
              <a:extLst>
                <a:ext uri="{FF2B5EF4-FFF2-40B4-BE49-F238E27FC236}">
                  <a16:creationId xmlns:a16="http://schemas.microsoft.com/office/drawing/2014/main" id="{B9590510-5F5D-48BA-979F-4AC97097879A}"/>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3657600" y="0"/>
              <a:ext cx="1828800" cy="1371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8</xdr:row>
      <xdr:rowOff>107950</xdr:rowOff>
    </xdr:from>
    <xdr:to>
      <xdr:col>9</xdr:col>
      <xdr:colOff>44450</xdr:colOff>
      <xdr:row>25</xdr:row>
      <xdr:rowOff>152400</xdr:rowOff>
    </xdr:to>
    <xdr:graphicFrame macro="">
      <xdr:nvGraphicFramePr>
        <xdr:cNvPr id="5" name="Chart 4">
          <a:extLst>
            <a:ext uri="{FF2B5EF4-FFF2-40B4-BE49-F238E27FC236}">
              <a16:creationId xmlns:a16="http://schemas.microsoft.com/office/drawing/2014/main" id="{FB1A43B6-F98F-4CBC-A17E-6872840161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361951</xdr:colOff>
      <xdr:row>12</xdr:row>
      <xdr:rowOff>31750</xdr:rowOff>
    </xdr:from>
    <xdr:to>
      <xdr:col>13</xdr:col>
      <xdr:colOff>241301</xdr:colOff>
      <xdr:row>31</xdr:row>
      <xdr:rowOff>120650</xdr:rowOff>
    </xdr:to>
    <xdr:graphicFrame macro="">
      <xdr:nvGraphicFramePr>
        <xdr:cNvPr id="3" name="Chart 2">
          <a:extLst>
            <a:ext uri="{FF2B5EF4-FFF2-40B4-BE49-F238E27FC236}">
              <a16:creationId xmlns:a16="http://schemas.microsoft.com/office/drawing/2014/main" id="{B4F00D66-CB87-FB6D-B55B-D81CBD971A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803275</xdr:colOff>
      <xdr:row>3</xdr:row>
      <xdr:rowOff>31750</xdr:rowOff>
    </xdr:from>
    <xdr:to>
      <xdr:col>11</xdr:col>
      <xdr:colOff>371475</xdr:colOff>
      <xdr:row>28</xdr:row>
      <xdr:rowOff>95250</xdr:rowOff>
    </xdr:to>
    <xdr:graphicFrame macro="">
      <xdr:nvGraphicFramePr>
        <xdr:cNvPr id="2" name="Chart 1">
          <a:extLst>
            <a:ext uri="{FF2B5EF4-FFF2-40B4-BE49-F238E27FC236}">
              <a16:creationId xmlns:a16="http://schemas.microsoft.com/office/drawing/2014/main" id="{C0B4CE24-97F6-6B74-B5B1-99BEF4BEDD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OJ bHATNAGAR" refreshedDate="46203.035024884259" createdVersion="8" refreshedVersion="8" minRefreshableVersion="3" recordCount="20" xr:uid="{3A477721-09D1-403A-B4ED-C8493E572C4D}">
  <cacheSource type="worksheet">
    <worksheetSource ref="A1:F21" sheet="Sheet1"/>
  </cacheSource>
  <cacheFields count="6">
    <cacheField name="Date" numFmtId="164">
      <sharedItems containsSemiMixedTypes="0" containsNonDate="0" containsDate="1" containsString="0" minDate="2022-01-01T00:00:00" maxDate="2022-01-21T00:00:00" count="20">
        <d v="2022-01-01T00:00:00"/>
        <d v="2022-01-02T00:00:00"/>
        <d v="2022-01-03T00:00:00"/>
        <d v="2022-01-04T00:00:00"/>
        <d v="2022-01-05T00:00:00"/>
        <d v="2022-01-06T00:00:00"/>
        <d v="2022-01-07T00:00:00"/>
        <d v="2022-01-08T00:00:00"/>
        <d v="2022-01-09T00:00:00"/>
        <d v="2022-01-10T00:00:00"/>
        <d v="2022-01-11T00:00:00"/>
        <d v="2022-01-12T00:00:00"/>
        <d v="2022-01-13T00:00:00"/>
        <d v="2022-01-14T00:00:00"/>
        <d v="2022-01-15T00:00:00"/>
        <d v="2022-01-16T00:00:00"/>
        <d v="2022-01-17T00:00:00"/>
        <d v="2022-01-18T00:00:00"/>
        <d v="2022-01-19T00:00:00"/>
        <d v="2022-01-20T00:00:00"/>
      </sharedItems>
    </cacheField>
    <cacheField name="Salesperson" numFmtId="0">
      <sharedItems count="3">
        <s v="John"/>
        <s v="Alice"/>
        <s v="Bob"/>
      </sharedItems>
    </cacheField>
    <cacheField name="Region" numFmtId="0">
      <sharedItems count="4">
        <s v="North"/>
        <s v="South"/>
        <s v="West"/>
        <s v="East"/>
      </sharedItems>
    </cacheField>
    <cacheField name="Product" numFmtId="0">
      <sharedItems count="3">
        <s v="Product A"/>
        <s v="Product B"/>
        <s v="Product C"/>
      </sharedItems>
    </cacheField>
    <cacheField name="Units Sold" numFmtId="0">
      <sharedItems containsSemiMixedTypes="0" containsString="0" containsNumber="1" containsInteger="1" minValue="30" maxValue="65"/>
    </cacheField>
    <cacheField name="Revenue" numFmtId="165">
      <sharedItems containsSemiMixedTypes="0" containsString="0" containsNumber="1" containsInteger="1" minValue="800" maxValue="1600"/>
    </cacheField>
  </cacheFields>
  <extLst>
    <ext xmlns:x14="http://schemas.microsoft.com/office/spreadsheetml/2009/9/main" uri="{725AE2AE-9491-48be-B2B4-4EB974FC3084}">
      <x14:pivotCacheDefinition pivotCacheId="146236267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x v="0"/>
    <x v="0"/>
    <n v="50"/>
    <n v="1000"/>
  </r>
  <r>
    <x v="1"/>
    <x v="1"/>
    <x v="1"/>
    <x v="1"/>
    <n v="40"/>
    <n v="1200"/>
  </r>
  <r>
    <x v="2"/>
    <x v="0"/>
    <x v="2"/>
    <x v="0"/>
    <n v="60"/>
    <n v="1500"/>
  </r>
  <r>
    <x v="3"/>
    <x v="2"/>
    <x v="3"/>
    <x v="2"/>
    <n v="30"/>
    <n v="800"/>
  </r>
  <r>
    <x v="4"/>
    <x v="1"/>
    <x v="0"/>
    <x v="1"/>
    <n v="45"/>
    <n v="1100"/>
  </r>
  <r>
    <x v="5"/>
    <x v="0"/>
    <x v="1"/>
    <x v="0"/>
    <n v="55"/>
    <n v="1300"/>
  </r>
  <r>
    <x v="6"/>
    <x v="2"/>
    <x v="3"/>
    <x v="1"/>
    <n v="35"/>
    <n v="900"/>
  </r>
  <r>
    <x v="7"/>
    <x v="1"/>
    <x v="0"/>
    <x v="2"/>
    <n v="48"/>
    <n v="1250"/>
  </r>
  <r>
    <x v="8"/>
    <x v="0"/>
    <x v="2"/>
    <x v="1"/>
    <n v="58"/>
    <n v="1450"/>
  </r>
  <r>
    <x v="9"/>
    <x v="2"/>
    <x v="1"/>
    <x v="0"/>
    <n v="42"/>
    <n v="1150"/>
  </r>
  <r>
    <x v="10"/>
    <x v="1"/>
    <x v="3"/>
    <x v="2"/>
    <n v="50"/>
    <n v="1400"/>
  </r>
  <r>
    <x v="11"/>
    <x v="0"/>
    <x v="0"/>
    <x v="0"/>
    <n v="62"/>
    <n v="1550"/>
  </r>
  <r>
    <x v="12"/>
    <x v="2"/>
    <x v="2"/>
    <x v="1"/>
    <n v="40"/>
    <n v="1200"/>
  </r>
  <r>
    <x v="13"/>
    <x v="1"/>
    <x v="1"/>
    <x v="2"/>
    <n v="55"/>
    <n v="1350"/>
  </r>
  <r>
    <x v="14"/>
    <x v="0"/>
    <x v="3"/>
    <x v="0"/>
    <n v="48"/>
    <n v="1250"/>
  </r>
  <r>
    <x v="15"/>
    <x v="2"/>
    <x v="0"/>
    <x v="1"/>
    <n v="65"/>
    <n v="1600"/>
  </r>
  <r>
    <x v="16"/>
    <x v="1"/>
    <x v="2"/>
    <x v="2"/>
    <n v="42"/>
    <n v="1150"/>
  </r>
  <r>
    <x v="17"/>
    <x v="0"/>
    <x v="1"/>
    <x v="0"/>
    <n v="58"/>
    <n v="1450"/>
  </r>
  <r>
    <x v="18"/>
    <x v="2"/>
    <x v="3"/>
    <x v="1"/>
    <n v="50"/>
    <n v="1400"/>
  </r>
  <r>
    <x v="19"/>
    <x v="1"/>
    <x v="0"/>
    <x v="2"/>
    <n v="60"/>
    <n v="15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90104AD-96B5-4873-B111-43BA297BA104}"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4" firstHeaderRow="1" firstDataRow="1" firstDataCol="1"/>
  <pivotFields count="6">
    <pivotField numFmtId="164" showAll="0"/>
    <pivotField axis="axisRow" showAll="0">
      <items count="4">
        <item x="1"/>
        <item x="2"/>
        <item x="0"/>
        <item t="default"/>
      </items>
    </pivotField>
    <pivotField showAll="0">
      <items count="5">
        <item x="3"/>
        <item x="0"/>
        <item x="1"/>
        <item x="2"/>
        <item t="default"/>
      </items>
    </pivotField>
    <pivotField axis="axisRow" showAll="0">
      <items count="4">
        <item x="0"/>
        <item x="1"/>
        <item x="2"/>
        <item t="default"/>
      </items>
    </pivotField>
    <pivotField showAll="0"/>
    <pivotField dataField="1" numFmtId="165" showAll="0"/>
  </pivotFields>
  <rowFields count="2">
    <field x="1"/>
    <field x="3"/>
  </rowFields>
  <rowItems count="11">
    <i>
      <x/>
    </i>
    <i r="1">
      <x v="1"/>
    </i>
    <i r="1">
      <x v="2"/>
    </i>
    <i>
      <x v="1"/>
    </i>
    <i r="1">
      <x/>
    </i>
    <i r="1">
      <x v="1"/>
    </i>
    <i r="1">
      <x v="2"/>
    </i>
    <i>
      <x v="2"/>
    </i>
    <i r="1">
      <x/>
    </i>
    <i r="1">
      <x v="1"/>
    </i>
    <i t="grand">
      <x/>
    </i>
  </rowItems>
  <colItems count="1">
    <i/>
  </colItems>
  <dataFields count="1">
    <dataField name="Sum of Revenue"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876499C-3C0B-4D80-B15A-E80FE47500C6}" name="PivotTable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6">
    <pivotField numFmtId="164" showAll="0"/>
    <pivotField showAll="0">
      <items count="4">
        <item x="1"/>
        <item x="2"/>
        <item x="0"/>
        <item t="default"/>
      </items>
    </pivotField>
    <pivotField axis="axisRow" showAll="0">
      <items count="5">
        <item x="3"/>
        <item x="0"/>
        <item x="1"/>
        <item x="2"/>
        <item t="default"/>
      </items>
    </pivotField>
    <pivotField showAll="0">
      <items count="4">
        <item x="0"/>
        <item x="1"/>
        <item x="2"/>
        <item t="default"/>
      </items>
    </pivotField>
    <pivotField showAll="0"/>
    <pivotField dataField="1" numFmtId="165" showAll="0"/>
  </pivotFields>
  <rowFields count="1">
    <field x="2"/>
  </rowFields>
  <rowItems count="5">
    <i>
      <x/>
    </i>
    <i>
      <x v="1"/>
    </i>
    <i>
      <x v="2"/>
    </i>
    <i>
      <x v="3"/>
    </i>
    <i t="grand">
      <x/>
    </i>
  </rowItems>
  <colItems count="1">
    <i/>
  </colItems>
  <dataFields count="1">
    <dataField name="Sum of Revenue"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3BF9BC2-E6D2-4CD3-AFAA-E78C61840E71}" name="PivotTable3"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24" firstHeaderRow="1" firstDataRow="1" firstDataCol="1"/>
  <pivotFields count="6">
    <pivotField axis="axisRow" numFmtId="164" showAll="0">
      <items count="21">
        <item x="0"/>
        <item x="1"/>
        <item x="2"/>
        <item x="3"/>
        <item x="4"/>
        <item x="5"/>
        <item x="6"/>
        <item x="7"/>
        <item x="8"/>
        <item x="9"/>
        <item x="10"/>
        <item x="11"/>
        <item x="12"/>
        <item x="13"/>
        <item x="14"/>
        <item x="15"/>
        <item x="16"/>
        <item x="17"/>
        <item x="18"/>
        <item x="19"/>
        <item t="default"/>
      </items>
    </pivotField>
    <pivotField showAll="0">
      <items count="4">
        <item x="1"/>
        <item x="2"/>
        <item x="0"/>
        <item t="default"/>
      </items>
    </pivotField>
    <pivotField showAll="0">
      <items count="5">
        <item x="3"/>
        <item x="0"/>
        <item x="1"/>
        <item x="2"/>
        <item t="default"/>
      </items>
    </pivotField>
    <pivotField showAll="0">
      <items count="4">
        <item x="0"/>
        <item x="1"/>
        <item x="2"/>
        <item t="default"/>
      </items>
    </pivotField>
    <pivotField showAll="0"/>
    <pivotField dataField="1" numFmtId="165" showAll="0"/>
  </pivotFields>
  <rowFields count="1">
    <field x="0"/>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Revenue" fld="5" baseField="0" baseItem="0"/>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4B4B35D-3095-43C0-8DCA-D665C2FA143C}" sourceName="Region">
  <pivotTables>
    <pivotTable tabId="3" name="PivotTable2"/>
    <pivotTable tabId="5" name="PivotTable3"/>
    <pivotTable tabId="2" name="PivotTable1"/>
  </pivotTables>
  <data>
    <tabular pivotCacheId="1462362676">
      <items count="4">
        <i x="3" s="1"/>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6E48EFBA-51D5-40BD-B4DA-3A189ACF5474}" sourceName="Salesperson">
  <pivotTables>
    <pivotTable tabId="2" name="PivotTable1"/>
    <pivotTable tabId="5" name="PivotTable3"/>
    <pivotTable tabId="3" name="PivotTable2"/>
  </pivotTables>
  <data>
    <tabular pivotCacheId="1462362676">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64D77D2E-1B68-4EF7-83B6-9BD165672F30}" sourceName="Product">
  <pivotTables>
    <pivotTable tabId="2" name="PivotTable1"/>
    <pivotTable tabId="5" name="PivotTable3"/>
    <pivotTable tabId="3" name="PivotTable2"/>
  </pivotTables>
  <data>
    <tabular pivotCacheId="1462362676">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person" xr10:uid="{7BAB40D5-012F-4E1B-A70E-808117E990BB}" cache="Slicer_Salesperson" caption="Salesperson" rowHeight="220133"/>
  <slicer name="Product" xr10:uid="{5FC8F09C-F7BF-4A65-A5F1-642DB53DDE1E}" cache="Slicer_Product" caption="Product" rowHeight="22013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18F53B28-D71D-4A31-AC12-94CD0F294767}" cache="Slicer_Region" caption="Region" rowHeight="220133"/>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819EC1F6-B1B1-4A1A-9BFD-A00C9ABD22EB}" cache="Slicer_Region" caption="Region" rowHeight="220133"/>
  <slicer name="Salesperson 1" xr10:uid="{CE587F2C-1D9E-4E85-98D5-69C1A6F44171}" cache="Slicer_Salesperson" caption="Salesperson" rowHeight="220133"/>
  <slicer name="Product 1" xr10:uid="{2480FDD7-5FA6-4A4E-8BA9-03397525B40F}" cache="Slicer_Product" caption="Product" rowHeight="22013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0D00B13-7B2B-4D8D-887F-3218A55B28F0}" name="Table2" displayName="Table2" ref="A1:E39" totalsRowShown="0">
  <autoFilter ref="A1:E39" xr:uid="{50D00B13-7B2B-4D8D-887F-3218A55B28F0}"/>
  <tableColumns count="5">
    <tableColumn id="1" xr3:uid="{5BA237A0-1515-4D7D-8C20-1F7A10296FBB}" name="Date" dataDxfId="3"/>
    <tableColumn id="2" xr3:uid="{8AE2397A-F734-4BED-B2B9-E89E4D9D612D}" name="Revenue"/>
    <tableColumn id="3" xr3:uid="{7BD1AD8C-29E2-4660-824B-2F76D58E2948}" name="Forecast(Revenue)" dataDxfId="2">
      <calculatedColumnFormula>_xlfn.FORECAST.ETS(A2,$B$2:$B$31,$A$2:$A$31,1,1)</calculatedColumnFormula>
    </tableColumn>
    <tableColumn id="4" xr3:uid="{2F71F216-327B-4537-921A-BFDADEA183DC}" name="Lower Confidence Bound(Revenue)" dataDxfId="1">
      <calculatedColumnFormula>C2-_xlfn.FORECAST.ETS.CONFINT(A2,$B$2:$B$31,$A$2:$A$31,0.85,1,1)</calculatedColumnFormula>
    </tableColumn>
    <tableColumn id="5" xr3:uid="{2AE03BFB-B1B1-4AA0-ABBE-8C5EBE877E61}" name="Upper Confidence Bound(Revenue)" dataDxfId="0">
      <calculatedColumnFormula>C2+_xlfn.FORECAST.ETS.CONFINT(A2,$B$2:$B$31,$A$2:$A$31,0.85,1,1)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F21"/>
  <sheetViews>
    <sheetView topLeftCell="A9" workbookViewId="0">
      <selection sqref="A1:F21"/>
    </sheetView>
  </sheetViews>
  <sheetFormatPr defaultColWidth="12.6328125" defaultRowHeight="15.75" customHeight="1"/>
  <sheetData>
    <row r="1" spans="1:6">
      <c r="A1" s="1" t="s">
        <v>0</v>
      </c>
      <c r="B1" s="1" t="s">
        <v>1</v>
      </c>
      <c r="C1" s="1" t="s">
        <v>2</v>
      </c>
      <c r="D1" s="1" t="s">
        <v>3</v>
      </c>
      <c r="E1" s="1" t="s">
        <v>4</v>
      </c>
      <c r="F1" s="1" t="s">
        <v>5</v>
      </c>
    </row>
    <row r="2" spans="1:6" ht="15.75" customHeight="1">
      <c r="A2" s="2">
        <v>44562</v>
      </c>
      <c r="B2" s="3" t="s">
        <v>6</v>
      </c>
      <c r="C2" s="3" t="s">
        <v>7</v>
      </c>
      <c r="D2" s="3" t="s">
        <v>8</v>
      </c>
      <c r="E2" s="3">
        <v>50</v>
      </c>
      <c r="F2" s="4">
        <v>1000</v>
      </c>
    </row>
    <row r="3" spans="1:6" ht="15.75" customHeight="1">
      <c r="A3" s="2">
        <v>44563</v>
      </c>
      <c r="B3" s="3" t="s">
        <v>9</v>
      </c>
      <c r="C3" s="3" t="s">
        <v>10</v>
      </c>
      <c r="D3" s="3" t="s">
        <v>11</v>
      </c>
      <c r="E3" s="3">
        <v>40</v>
      </c>
      <c r="F3" s="4">
        <v>1200</v>
      </c>
    </row>
    <row r="4" spans="1:6" ht="15.75" customHeight="1">
      <c r="A4" s="2">
        <v>44564</v>
      </c>
      <c r="B4" s="3" t="s">
        <v>6</v>
      </c>
      <c r="C4" s="3" t="s">
        <v>12</v>
      </c>
      <c r="D4" s="3" t="s">
        <v>8</v>
      </c>
      <c r="E4" s="3">
        <v>60</v>
      </c>
      <c r="F4" s="4">
        <v>1500</v>
      </c>
    </row>
    <row r="5" spans="1:6" ht="15.75" customHeight="1">
      <c r="A5" s="2">
        <v>44565</v>
      </c>
      <c r="B5" s="3" t="s">
        <v>13</v>
      </c>
      <c r="C5" s="3" t="s">
        <v>14</v>
      </c>
      <c r="D5" s="3" t="s">
        <v>15</v>
      </c>
      <c r="E5" s="3">
        <v>30</v>
      </c>
      <c r="F5" s="4">
        <v>800</v>
      </c>
    </row>
    <row r="6" spans="1:6" ht="15.75" customHeight="1">
      <c r="A6" s="2">
        <v>44566</v>
      </c>
      <c r="B6" s="3" t="s">
        <v>9</v>
      </c>
      <c r="C6" s="3" t="s">
        <v>7</v>
      </c>
      <c r="D6" s="3" t="s">
        <v>11</v>
      </c>
      <c r="E6" s="3">
        <v>45</v>
      </c>
      <c r="F6" s="4">
        <v>1100</v>
      </c>
    </row>
    <row r="7" spans="1:6" ht="15.75" customHeight="1">
      <c r="A7" s="2">
        <v>44567</v>
      </c>
      <c r="B7" s="3" t="s">
        <v>6</v>
      </c>
      <c r="C7" s="3" t="s">
        <v>10</v>
      </c>
      <c r="D7" s="3" t="s">
        <v>8</v>
      </c>
      <c r="E7" s="3">
        <v>55</v>
      </c>
      <c r="F7" s="4">
        <v>1300</v>
      </c>
    </row>
    <row r="8" spans="1:6" ht="15.75" customHeight="1">
      <c r="A8" s="2">
        <v>44568</v>
      </c>
      <c r="B8" s="3" t="s">
        <v>13</v>
      </c>
      <c r="C8" s="3" t="s">
        <v>14</v>
      </c>
      <c r="D8" s="3" t="s">
        <v>11</v>
      </c>
      <c r="E8" s="3">
        <v>35</v>
      </c>
      <c r="F8" s="4">
        <v>900</v>
      </c>
    </row>
    <row r="9" spans="1:6" ht="15.75" customHeight="1">
      <c r="A9" s="2">
        <v>44569</v>
      </c>
      <c r="B9" s="3" t="s">
        <v>9</v>
      </c>
      <c r="C9" s="3" t="s">
        <v>7</v>
      </c>
      <c r="D9" s="3" t="s">
        <v>15</v>
      </c>
      <c r="E9" s="3">
        <v>48</v>
      </c>
      <c r="F9" s="4">
        <v>1250</v>
      </c>
    </row>
    <row r="10" spans="1:6" ht="15.75" customHeight="1">
      <c r="A10" s="2">
        <v>44570</v>
      </c>
      <c r="B10" s="3" t="s">
        <v>6</v>
      </c>
      <c r="C10" s="3" t="s">
        <v>12</v>
      </c>
      <c r="D10" s="3" t="s">
        <v>11</v>
      </c>
      <c r="E10" s="3">
        <v>58</v>
      </c>
      <c r="F10" s="4">
        <v>1450</v>
      </c>
    </row>
    <row r="11" spans="1:6" ht="15.75" customHeight="1">
      <c r="A11" s="2">
        <v>44571</v>
      </c>
      <c r="B11" s="3" t="s">
        <v>13</v>
      </c>
      <c r="C11" s="3" t="s">
        <v>10</v>
      </c>
      <c r="D11" s="3" t="s">
        <v>8</v>
      </c>
      <c r="E11" s="3">
        <v>42</v>
      </c>
      <c r="F11" s="4">
        <v>1150</v>
      </c>
    </row>
    <row r="12" spans="1:6" ht="15.75" customHeight="1">
      <c r="A12" s="2">
        <v>44572</v>
      </c>
      <c r="B12" s="3" t="s">
        <v>9</v>
      </c>
      <c r="C12" s="3" t="s">
        <v>14</v>
      </c>
      <c r="D12" s="3" t="s">
        <v>15</v>
      </c>
      <c r="E12" s="3">
        <v>50</v>
      </c>
      <c r="F12" s="4">
        <v>1400</v>
      </c>
    </row>
    <row r="13" spans="1:6" ht="15.75" customHeight="1">
      <c r="A13" s="2">
        <v>44573</v>
      </c>
      <c r="B13" s="3" t="s">
        <v>6</v>
      </c>
      <c r="C13" s="3" t="s">
        <v>7</v>
      </c>
      <c r="D13" s="3" t="s">
        <v>8</v>
      </c>
      <c r="E13" s="3">
        <v>62</v>
      </c>
      <c r="F13" s="4">
        <v>1550</v>
      </c>
    </row>
    <row r="14" spans="1:6" ht="15.75" customHeight="1">
      <c r="A14" s="2">
        <v>44574</v>
      </c>
      <c r="B14" s="3" t="s">
        <v>13</v>
      </c>
      <c r="C14" s="3" t="s">
        <v>12</v>
      </c>
      <c r="D14" s="3" t="s">
        <v>11</v>
      </c>
      <c r="E14" s="3">
        <v>40</v>
      </c>
      <c r="F14" s="4">
        <v>1200</v>
      </c>
    </row>
    <row r="15" spans="1:6" ht="15.75" customHeight="1">
      <c r="A15" s="2">
        <v>44575</v>
      </c>
      <c r="B15" s="3" t="s">
        <v>9</v>
      </c>
      <c r="C15" s="3" t="s">
        <v>10</v>
      </c>
      <c r="D15" s="3" t="s">
        <v>15</v>
      </c>
      <c r="E15" s="3">
        <v>55</v>
      </c>
      <c r="F15" s="4">
        <v>1350</v>
      </c>
    </row>
    <row r="16" spans="1:6" ht="15.75" customHeight="1">
      <c r="A16" s="2">
        <v>44576</v>
      </c>
      <c r="B16" s="3" t="s">
        <v>6</v>
      </c>
      <c r="C16" s="3" t="s">
        <v>14</v>
      </c>
      <c r="D16" s="3" t="s">
        <v>8</v>
      </c>
      <c r="E16" s="3">
        <v>48</v>
      </c>
      <c r="F16" s="4">
        <v>1250</v>
      </c>
    </row>
    <row r="17" spans="1:6" ht="15.75" customHeight="1">
      <c r="A17" s="2">
        <v>44577</v>
      </c>
      <c r="B17" s="3" t="s">
        <v>13</v>
      </c>
      <c r="C17" s="3" t="s">
        <v>7</v>
      </c>
      <c r="D17" s="3" t="s">
        <v>11</v>
      </c>
      <c r="E17" s="3">
        <v>65</v>
      </c>
      <c r="F17" s="4">
        <v>1600</v>
      </c>
    </row>
    <row r="18" spans="1:6" ht="15.75" customHeight="1">
      <c r="A18" s="2">
        <v>44578</v>
      </c>
      <c r="B18" s="3" t="s">
        <v>9</v>
      </c>
      <c r="C18" s="3" t="s">
        <v>12</v>
      </c>
      <c r="D18" s="3" t="s">
        <v>15</v>
      </c>
      <c r="E18" s="3">
        <v>42</v>
      </c>
      <c r="F18" s="4">
        <v>1150</v>
      </c>
    </row>
    <row r="19" spans="1:6" ht="15.75" customHeight="1">
      <c r="A19" s="2">
        <v>44579</v>
      </c>
      <c r="B19" s="3" t="s">
        <v>6</v>
      </c>
      <c r="C19" s="3" t="s">
        <v>10</v>
      </c>
      <c r="D19" s="3" t="s">
        <v>8</v>
      </c>
      <c r="E19" s="3">
        <v>58</v>
      </c>
      <c r="F19" s="4">
        <v>1450</v>
      </c>
    </row>
    <row r="20" spans="1:6" ht="15.75" customHeight="1">
      <c r="A20" s="2">
        <v>44580</v>
      </c>
      <c r="B20" s="3" t="s">
        <v>13</v>
      </c>
      <c r="C20" s="3" t="s">
        <v>14</v>
      </c>
      <c r="D20" s="3" t="s">
        <v>11</v>
      </c>
      <c r="E20" s="3">
        <v>50</v>
      </c>
      <c r="F20" s="4">
        <v>1400</v>
      </c>
    </row>
    <row r="21" spans="1:6" ht="12.5">
      <c r="A21" s="2">
        <v>44581</v>
      </c>
      <c r="B21" s="3" t="s">
        <v>9</v>
      </c>
      <c r="C21" s="3" t="s">
        <v>7</v>
      </c>
      <c r="D21" s="3" t="s">
        <v>15</v>
      </c>
      <c r="E21" s="3">
        <v>60</v>
      </c>
      <c r="F21" s="4">
        <v>1500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AD0C0-4B63-49D4-BFA2-EB987B999DB2}">
  <dimension ref="A3:B14"/>
  <sheetViews>
    <sheetView workbookViewId="0">
      <selection activeCell="F12" sqref="F12"/>
    </sheetView>
  </sheetViews>
  <sheetFormatPr defaultRowHeight="12.5"/>
  <cols>
    <col min="1" max="1" width="13" bestFit="1" customWidth="1"/>
    <col min="2" max="2" width="15" bestFit="1" customWidth="1"/>
  </cols>
  <sheetData>
    <row r="3" spans="1:2">
      <c r="A3" s="6" t="s">
        <v>17</v>
      </c>
      <c r="B3" t="s">
        <v>16</v>
      </c>
    </row>
    <row r="4" spans="1:2">
      <c r="A4" s="7" t="s">
        <v>9</v>
      </c>
      <c r="B4" s="5">
        <v>8950</v>
      </c>
    </row>
    <row r="5" spans="1:2">
      <c r="A5" s="8" t="s">
        <v>11</v>
      </c>
      <c r="B5" s="5">
        <v>2300</v>
      </c>
    </row>
    <row r="6" spans="1:2">
      <c r="A6" s="8" t="s">
        <v>15</v>
      </c>
      <c r="B6" s="5">
        <v>6650</v>
      </c>
    </row>
    <row r="7" spans="1:2">
      <c r="A7" s="7" t="s">
        <v>13</v>
      </c>
      <c r="B7" s="5">
        <v>7050</v>
      </c>
    </row>
    <row r="8" spans="1:2">
      <c r="A8" s="8" t="s">
        <v>8</v>
      </c>
      <c r="B8" s="5">
        <v>1150</v>
      </c>
    </row>
    <row r="9" spans="1:2">
      <c r="A9" s="8" t="s">
        <v>11</v>
      </c>
      <c r="B9" s="5">
        <v>5100</v>
      </c>
    </row>
    <row r="10" spans="1:2">
      <c r="A10" s="8" t="s">
        <v>15</v>
      </c>
      <c r="B10" s="5">
        <v>800</v>
      </c>
    </row>
    <row r="11" spans="1:2">
      <c r="A11" s="7" t="s">
        <v>6</v>
      </c>
      <c r="B11" s="5">
        <v>9500</v>
      </c>
    </row>
    <row r="12" spans="1:2">
      <c r="A12" s="8" t="s">
        <v>8</v>
      </c>
      <c r="B12" s="5">
        <v>8050</v>
      </c>
    </row>
    <row r="13" spans="1:2">
      <c r="A13" s="8" t="s">
        <v>11</v>
      </c>
      <c r="B13" s="5">
        <v>1450</v>
      </c>
    </row>
    <row r="14" spans="1:2">
      <c r="A14" s="7" t="s">
        <v>18</v>
      </c>
      <c r="B14" s="5">
        <v>25500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0138E1-46DB-4B4C-BE7D-80EE1ED5DF31}">
  <dimension ref="A3:B8"/>
  <sheetViews>
    <sheetView workbookViewId="0">
      <selection activeCell="A3" sqref="A3"/>
    </sheetView>
  </sheetViews>
  <sheetFormatPr defaultRowHeight="12.5"/>
  <cols>
    <col min="1" max="1" width="13" bestFit="1" customWidth="1"/>
    <col min="2" max="2" width="15" bestFit="1" customWidth="1"/>
  </cols>
  <sheetData>
    <row r="3" spans="1:2">
      <c r="A3" s="6" t="s">
        <v>17</v>
      </c>
      <c r="B3" t="s">
        <v>16</v>
      </c>
    </row>
    <row r="4" spans="1:2">
      <c r="A4" s="7" t="s">
        <v>14</v>
      </c>
      <c r="B4" s="5">
        <v>5750</v>
      </c>
    </row>
    <row r="5" spans="1:2">
      <c r="A5" s="7" t="s">
        <v>7</v>
      </c>
      <c r="B5" s="5">
        <v>8000</v>
      </c>
    </row>
    <row r="6" spans="1:2">
      <c r="A6" s="7" t="s">
        <v>10</v>
      </c>
      <c r="B6" s="5">
        <v>6450</v>
      </c>
    </row>
    <row r="7" spans="1:2">
      <c r="A7" s="7" t="s">
        <v>12</v>
      </c>
      <c r="B7" s="5">
        <v>5300</v>
      </c>
    </row>
    <row r="8" spans="1:2">
      <c r="A8" s="7" t="s">
        <v>18</v>
      </c>
      <c r="B8" s="5">
        <v>25500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36905C-6FD4-4C01-8A29-5439C8278598}">
  <dimension ref="A3:B24"/>
  <sheetViews>
    <sheetView workbookViewId="0">
      <selection activeCell="A3" sqref="A3"/>
    </sheetView>
  </sheetViews>
  <sheetFormatPr defaultRowHeight="12.5"/>
  <cols>
    <col min="1" max="1" width="13" bestFit="1" customWidth="1"/>
    <col min="2" max="2" width="15" bestFit="1" customWidth="1"/>
  </cols>
  <sheetData>
    <row r="3" spans="1:2">
      <c r="A3" s="6" t="s">
        <v>17</v>
      </c>
      <c r="B3" t="s">
        <v>16</v>
      </c>
    </row>
    <row r="4" spans="1:2">
      <c r="A4" s="9">
        <v>44562</v>
      </c>
      <c r="B4" s="5">
        <v>1000</v>
      </c>
    </row>
    <row r="5" spans="1:2">
      <c r="A5" s="9">
        <v>44563</v>
      </c>
      <c r="B5" s="5">
        <v>1200</v>
      </c>
    </row>
    <row r="6" spans="1:2">
      <c r="A6" s="9">
        <v>44564</v>
      </c>
      <c r="B6" s="5">
        <v>1500</v>
      </c>
    </row>
    <row r="7" spans="1:2">
      <c r="A7" s="9">
        <v>44565</v>
      </c>
      <c r="B7" s="5">
        <v>800</v>
      </c>
    </row>
    <row r="8" spans="1:2">
      <c r="A8" s="9">
        <v>44566</v>
      </c>
      <c r="B8" s="5">
        <v>1100</v>
      </c>
    </row>
    <row r="9" spans="1:2">
      <c r="A9" s="9">
        <v>44567</v>
      </c>
      <c r="B9" s="5">
        <v>1300</v>
      </c>
    </row>
    <row r="10" spans="1:2">
      <c r="A10" s="9">
        <v>44568</v>
      </c>
      <c r="B10" s="5">
        <v>900</v>
      </c>
    </row>
    <row r="11" spans="1:2">
      <c r="A11" s="9">
        <v>44569</v>
      </c>
      <c r="B11" s="5">
        <v>1250</v>
      </c>
    </row>
    <row r="12" spans="1:2">
      <c r="A12" s="9">
        <v>44570</v>
      </c>
      <c r="B12" s="5">
        <v>1450</v>
      </c>
    </row>
    <row r="13" spans="1:2">
      <c r="A13" s="9">
        <v>44571</v>
      </c>
      <c r="B13" s="5">
        <v>1150</v>
      </c>
    </row>
    <row r="14" spans="1:2">
      <c r="A14" s="9">
        <v>44572</v>
      </c>
      <c r="B14" s="5">
        <v>1400</v>
      </c>
    </row>
    <row r="15" spans="1:2">
      <c r="A15" s="9">
        <v>44573</v>
      </c>
      <c r="B15" s="5">
        <v>1550</v>
      </c>
    </row>
    <row r="16" spans="1:2">
      <c r="A16" s="9">
        <v>44574</v>
      </c>
      <c r="B16" s="5">
        <v>1200</v>
      </c>
    </row>
    <row r="17" spans="1:2">
      <c r="A17" s="9">
        <v>44575</v>
      </c>
      <c r="B17" s="5">
        <v>1350</v>
      </c>
    </row>
    <row r="18" spans="1:2">
      <c r="A18" s="9">
        <v>44576</v>
      </c>
      <c r="B18" s="5">
        <v>1250</v>
      </c>
    </row>
    <row r="19" spans="1:2">
      <c r="A19" s="9">
        <v>44577</v>
      </c>
      <c r="B19" s="5">
        <v>1600</v>
      </c>
    </row>
    <row r="20" spans="1:2">
      <c r="A20" s="9">
        <v>44578</v>
      </c>
      <c r="B20" s="5">
        <v>1150</v>
      </c>
    </row>
    <row r="21" spans="1:2">
      <c r="A21" s="9">
        <v>44579</v>
      </c>
      <c r="B21" s="5">
        <v>1450</v>
      </c>
    </row>
    <row r="22" spans="1:2">
      <c r="A22" s="9">
        <v>44580</v>
      </c>
      <c r="B22" s="5">
        <v>1400</v>
      </c>
    </row>
    <row r="23" spans="1:2">
      <c r="A23" s="9">
        <v>44581</v>
      </c>
      <c r="B23" s="5">
        <v>1500</v>
      </c>
    </row>
    <row r="24" spans="1:2">
      <c r="A24" s="9" t="s">
        <v>18</v>
      </c>
      <c r="B24" s="5">
        <v>25500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74BBF4-4B26-4E70-9C12-692CFEEB291C}">
  <dimension ref="A1"/>
  <sheetViews>
    <sheetView workbookViewId="0">
      <selection activeCell="L9" sqref="L9"/>
    </sheetView>
  </sheetViews>
  <sheetFormatPr defaultRowHeight="1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4FD89C-F4D9-4998-8A54-74EE6D0330DC}">
  <dimension ref="B2:O2"/>
  <sheetViews>
    <sheetView workbookViewId="0">
      <selection activeCell="G19" sqref="G19"/>
    </sheetView>
  </sheetViews>
  <sheetFormatPr defaultRowHeight="12.5"/>
  <sheetData>
    <row r="2" spans="2:15" ht="25">
      <c r="B2" s="10" t="s">
        <v>19</v>
      </c>
      <c r="C2" s="10"/>
      <c r="D2" s="10"/>
      <c r="E2" s="10"/>
      <c r="F2" s="10"/>
      <c r="G2" s="10"/>
      <c r="H2" s="10"/>
      <c r="I2" s="11"/>
      <c r="J2" s="11"/>
      <c r="K2" s="11"/>
      <c r="L2" s="11"/>
      <c r="M2" s="11"/>
      <c r="N2" s="11"/>
      <c r="O2" s="11"/>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1F261-2000-4A06-B0CE-C3471D6F7BFA}">
  <dimension ref="A1:B31"/>
  <sheetViews>
    <sheetView workbookViewId="0">
      <selection sqref="A1:B31"/>
    </sheetView>
  </sheetViews>
  <sheetFormatPr defaultRowHeight="12.5"/>
  <cols>
    <col min="1" max="1" width="10.08984375" bestFit="1" customWidth="1"/>
    <col min="2" max="2" width="8.90625" bestFit="1" customWidth="1"/>
  </cols>
  <sheetData>
    <row r="1" spans="1:2" ht="13">
      <c r="A1" s="1" t="s">
        <v>0</v>
      </c>
      <c r="B1" s="1" t="s">
        <v>5</v>
      </c>
    </row>
    <row r="2" spans="1:2">
      <c r="A2" s="2">
        <v>44562</v>
      </c>
      <c r="B2" s="4">
        <v>1000</v>
      </c>
    </row>
    <row r="3" spans="1:2">
      <c r="A3" s="2">
        <v>44563</v>
      </c>
      <c r="B3" s="4">
        <v>1200</v>
      </c>
    </row>
    <row r="4" spans="1:2">
      <c r="A4" s="2">
        <v>44564</v>
      </c>
      <c r="B4" s="4">
        <v>1500</v>
      </c>
    </row>
    <row r="5" spans="1:2">
      <c r="A5" s="2">
        <v>44565</v>
      </c>
      <c r="B5" s="4">
        <v>800</v>
      </c>
    </row>
    <row r="6" spans="1:2">
      <c r="A6" s="2">
        <v>44566</v>
      </c>
      <c r="B6" s="4">
        <v>1100</v>
      </c>
    </row>
    <row r="7" spans="1:2">
      <c r="A7" s="2">
        <v>44567</v>
      </c>
      <c r="B7" s="4">
        <v>1300</v>
      </c>
    </row>
    <row r="8" spans="1:2">
      <c r="A8" s="2">
        <v>44568</v>
      </c>
      <c r="B8" s="4">
        <v>900</v>
      </c>
    </row>
    <row r="9" spans="1:2">
      <c r="A9" s="2">
        <v>44569</v>
      </c>
      <c r="B9" s="4">
        <v>1250</v>
      </c>
    </row>
    <row r="10" spans="1:2">
      <c r="A10" s="2">
        <v>44570</v>
      </c>
      <c r="B10" s="4">
        <v>1450</v>
      </c>
    </row>
    <row r="11" spans="1:2">
      <c r="A11" s="2">
        <v>44571</v>
      </c>
      <c r="B11" s="4">
        <v>1150</v>
      </c>
    </row>
    <row r="12" spans="1:2">
      <c r="A12" s="2">
        <v>44572</v>
      </c>
      <c r="B12" s="4">
        <v>1400</v>
      </c>
    </row>
    <row r="13" spans="1:2">
      <c r="A13" s="2">
        <v>44573</v>
      </c>
      <c r="B13" s="4">
        <v>1550</v>
      </c>
    </row>
    <row r="14" spans="1:2">
      <c r="A14" s="2">
        <v>44574</v>
      </c>
      <c r="B14" s="4">
        <v>1200</v>
      </c>
    </row>
    <row r="15" spans="1:2">
      <c r="A15" s="2">
        <v>44575</v>
      </c>
      <c r="B15" s="4">
        <v>1350</v>
      </c>
    </row>
    <row r="16" spans="1:2">
      <c r="A16" s="2">
        <v>44576</v>
      </c>
      <c r="B16" s="4">
        <v>1250</v>
      </c>
    </row>
    <row r="17" spans="1:2">
      <c r="A17" s="2">
        <v>44577</v>
      </c>
      <c r="B17" s="4">
        <v>1600</v>
      </c>
    </row>
    <row r="18" spans="1:2">
      <c r="A18" s="2">
        <v>44578</v>
      </c>
      <c r="B18" s="4">
        <v>1150</v>
      </c>
    </row>
    <row r="19" spans="1:2">
      <c r="A19" s="2">
        <v>44579</v>
      </c>
      <c r="B19" s="4">
        <v>1450</v>
      </c>
    </row>
    <row r="20" spans="1:2">
      <c r="A20" s="2">
        <v>44580</v>
      </c>
      <c r="B20" s="4">
        <v>1400</v>
      </c>
    </row>
    <row r="21" spans="1:2">
      <c r="A21" s="2">
        <v>44581</v>
      </c>
      <c r="B21" s="4">
        <v>1500</v>
      </c>
    </row>
    <row r="22" spans="1:2">
      <c r="A22" s="2">
        <v>44582</v>
      </c>
      <c r="B22">
        <f>FORECAST(A22,B2:B21,A2:A21)</f>
        <v>1473.9473684210097</v>
      </c>
    </row>
    <row r="23" spans="1:2">
      <c r="A23" s="2">
        <v>44583</v>
      </c>
      <c r="B23">
        <f t="shared" ref="B23:B31" si="0">FORECAST(A23,B3:B22,A3:A22)</f>
        <v>1481.8947368421359</v>
      </c>
    </row>
    <row r="24" spans="1:2">
      <c r="A24" s="2">
        <v>44584</v>
      </c>
      <c r="B24">
        <f t="shared" si="0"/>
        <v>1507.1060941827018</v>
      </c>
    </row>
    <row r="25" spans="1:2">
      <c r="A25" s="2">
        <v>44585</v>
      </c>
      <c r="B25">
        <f t="shared" si="0"/>
        <v>1567.6455955679994</v>
      </c>
    </row>
    <row r="26" spans="1:2">
      <c r="A26" s="2">
        <v>44586</v>
      </c>
      <c r="B26">
        <f t="shared" si="0"/>
        <v>1559.1281641637906</v>
      </c>
    </row>
    <row r="27" spans="1:2">
      <c r="A27" s="2">
        <v>44587</v>
      </c>
      <c r="B27">
        <f t="shared" si="0"/>
        <v>1571.523368654307</v>
      </c>
    </row>
    <row r="28" spans="1:2">
      <c r="A28" s="2">
        <v>44588</v>
      </c>
      <c r="B28">
        <f t="shared" si="0"/>
        <v>1602.3061167139094</v>
      </c>
    </row>
    <row r="29" spans="1:2">
      <c r="A29" s="2">
        <v>44589</v>
      </c>
      <c r="B29">
        <f t="shared" si="0"/>
        <v>1588.6424138278235</v>
      </c>
    </row>
    <row r="30" spans="1:2">
      <c r="A30" s="2">
        <v>44590</v>
      </c>
      <c r="B30">
        <f t="shared" si="0"/>
        <v>1601.6832422058797</v>
      </c>
    </row>
    <row r="31" spans="1:2">
      <c r="A31" s="2">
        <v>44591</v>
      </c>
      <c r="B31">
        <f t="shared" si="0"/>
        <v>1635.1431455147685</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9FAD1-BDF6-4309-9B00-1C09142BFB7C}">
  <dimension ref="A1:E39"/>
  <sheetViews>
    <sheetView tabSelected="1" topLeftCell="A28" workbookViewId="0"/>
  </sheetViews>
  <sheetFormatPr defaultRowHeight="12.5"/>
  <cols>
    <col min="1" max="1" width="10.08984375" bestFit="1" customWidth="1"/>
    <col min="2" max="2" width="10.26953125" customWidth="1"/>
    <col min="3" max="3" width="19.08984375" customWidth="1"/>
    <col min="4" max="4" width="33.26953125" customWidth="1"/>
    <col min="5" max="5" width="33.1796875" customWidth="1"/>
  </cols>
  <sheetData>
    <row r="1" spans="1:5">
      <c r="A1" t="s">
        <v>0</v>
      </c>
      <c r="B1" t="s">
        <v>5</v>
      </c>
      <c r="C1" t="s">
        <v>20</v>
      </c>
      <c r="D1" t="s">
        <v>21</v>
      </c>
      <c r="E1" t="s">
        <v>22</v>
      </c>
    </row>
    <row r="2" spans="1:5">
      <c r="A2" s="12">
        <v>44562</v>
      </c>
      <c r="B2" s="13">
        <v>1000</v>
      </c>
    </row>
    <row r="3" spans="1:5">
      <c r="A3" s="12">
        <v>44563</v>
      </c>
      <c r="B3" s="13">
        <v>1200</v>
      </c>
    </row>
    <row r="4" spans="1:5">
      <c r="A4" s="12">
        <v>44564</v>
      </c>
      <c r="B4" s="13">
        <v>1500</v>
      </c>
    </row>
    <row r="5" spans="1:5">
      <c r="A5" s="12">
        <v>44565</v>
      </c>
      <c r="B5" s="13">
        <v>800</v>
      </c>
    </row>
    <row r="6" spans="1:5">
      <c r="A6" s="12">
        <v>44566</v>
      </c>
      <c r="B6" s="13">
        <v>1100</v>
      </c>
    </row>
    <row r="7" spans="1:5">
      <c r="A7" s="12">
        <v>44567</v>
      </c>
      <c r="B7" s="13">
        <v>1300</v>
      </c>
    </row>
    <row r="8" spans="1:5">
      <c r="A8" s="12">
        <v>44568</v>
      </c>
      <c r="B8" s="13">
        <v>900</v>
      </c>
    </row>
    <row r="9" spans="1:5">
      <c r="A9" s="12">
        <v>44569</v>
      </c>
      <c r="B9" s="13">
        <v>1250</v>
      </c>
    </row>
    <row r="10" spans="1:5">
      <c r="A10" s="12">
        <v>44570</v>
      </c>
      <c r="B10" s="13">
        <v>1450</v>
      </c>
    </row>
    <row r="11" spans="1:5">
      <c r="A11" s="12">
        <v>44571</v>
      </c>
      <c r="B11" s="13">
        <v>1150</v>
      </c>
    </row>
    <row r="12" spans="1:5">
      <c r="A12" s="12">
        <v>44572</v>
      </c>
      <c r="B12" s="13">
        <v>1400</v>
      </c>
    </row>
    <row r="13" spans="1:5">
      <c r="A13" s="12">
        <v>44573</v>
      </c>
      <c r="B13" s="13">
        <v>1550</v>
      </c>
    </row>
    <row r="14" spans="1:5">
      <c r="A14" s="12">
        <v>44574</v>
      </c>
      <c r="B14" s="13">
        <v>1200</v>
      </c>
    </row>
    <row r="15" spans="1:5">
      <c r="A15" s="12">
        <v>44575</v>
      </c>
      <c r="B15" s="13">
        <v>1350</v>
      </c>
    </row>
    <row r="16" spans="1:5">
      <c r="A16" s="12">
        <v>44576</v>
      </c>
      <c r="B16" s="13">
        <v>1250</v>
      </c>
    </row>
    <row r="17" spans="1:5">
      <c r="A17" s="12">
        <v>44577</v>
      </c>
      <c r="B17" s="13">
        <v>1600</v>
      </c>
    </row>
    <row r="18" spans="1:5">
      <c r="A18" s="12">
        <v>44578</v>
      </c>
      <c r="B18" s="13">
        <v>1150</v>
      </c>
    </row>
    <row r="19" spans="1:5">
      <c r="A19" s="12">
        <v>44579</v>
      </c>
      <c r="B19" s="13">
        <v>1450</v>
      </c>
    </row>
    <row r="20" spans="1:5">
      <c r="A20" s="12">
        <v>44580</v>
      </c>
      <c r="B20" s="13">
        <v>1400</v>
      </c>
    </row>
    <row r="21" spans="1:5">
      <c r="A21" s="12">
        <v>44581</v>
      </c>
      <c r="B21" s="13">
        <v>1500</v>
      </c>
    </row>
    <row r="22" spans="1:5">
      <c r="A22" s="12">
        <v>44582</v>
      </c>
      <c r="B22" s="13">
        <v>1473.9473684210097</v>
      </c>
    </row>
    <row r="23" spans="1:5">
      <c r="A23" s="12">
        <v>44583</v>
      </c>
      <c r="B23" s="13">
        <v>1481.8947368421359</v>
      </c>
    </row>
    <row r="24" spans="1:5">
      <c r="A24" s="12">
        <v>44584</v>
      </c>
      <c r="B24" s="13">
        <v>1507.1060941827018</v>
      </c>
    </row>
    <row r="25" spans="1:5">
      <c r="A25" s="12">
        <v>44585</v>
      </c>
      <c r="B25" s="13">
        <v>1567.6455955679994</v>
      </c>
    </row>
    <row r="26" spans="1:5">
      <c r="A26" s="12">
        <v>44586</v>
      </c>
      <c r="B26" s="13">
        <v>1559.1281641637906</v>
      </c>
    </row>
    <row r="27" spans="1:5">
      <c r="A27" s="12">
        <v>44587</v>
      </c>
      <c r="B27" s="13">
        <v>1571.523368654307</v>
      </c>
    </row>
    <row r="28" spans="1:5">
      <c r="A28" s="12">
        <v>44588</v>
      </c>
      <c r="B28" s="13">
        <v>1602.3061167139094</v>
      </c>
    </row>
    <row r="29" spans="1:5">
      <c r="A29" s="12">
        <v>44589</v>
      </c>
      <c r="B29" s="13">
        <v>1588.6424138278235</v>
      </c>
    </row>
    <row r="30" spans="1:5">
      <c r="A30" s="12">
        <v>44590</v>
      </c>
      <c r="B30" s="13">
        <v>1601.6832422058797</v>
      </c>
    </row>
    <row r="31" spans="1:5">
      <c r="A31" s="12">
        <v>44591</v>
      </c>
      <c r="B31" s="13">
        <v>1635.1431455147685</v>
      </c>
      <c r="C31" s="13">
        <v>1635.1431455147685</v>
      </c>
      <c r="D31" s="13">
        <v>1635.1431455147685</v>
      </c>
      <c r="E31" s="13">
        <v>1635.1431455147685</v>
      </c>
    </row>
    <row r="32" spans="1:5">
      <c r="A32" s="12">
        <v>44592</v>
      </c>
      <c r="C32" s="13">
        <f>_xlfn.FORECAST.ETS(A32,$B$2:$B$31,$A$2:$A$31,1,1)</f>
        <v>1664.2599290772039</v>
      </c>
      <c r="D32" s="13">
        <f>C32-_xlfn.FORECAST.ETS.CONFINT(A32,$B$2:$B$31,$A$2:$A$31,0.85,1,1)</f>
        <v>1432.7575425541033</v>
      </c>
      <c r="E32" s="13">
        <f>C32+_xlfn.FORECAST.ETS.CONFINT(A32,$B$2:$B$31,$A$2:$A$31,0.85,1,1)</f>
        <v>1895.7623156003044</v>
      </c>
    </row>
    <row r="33" spans="1:5">
      <c r="A33" s="12">
        <v>44593</v>
      </c>
      <c r="C33" s="13">
        <f>_xlfn.FORECAST.ETS(A33,$B$2:$B$31,$A$2:$A$31,1,1)</f>
        <v>1683.9132701072406</v>
      </c>
      <c r="D33" s="13">
        <f>C33-_xlfn.FORECAST.ETS.CONFINT(A33,$B$2:$B$31,$A$2:$A$31,0.85,1,1)</f>
        <v>1451.2331016787771</v>
      </c>
      <c r="E33" s="13">
        <f>C33+_xlfn.FORECAST.ETS.CONFINT(A33,$B$2:$B$31,$A$2:$A$31,0.85,1,1)</f>
        <v>1916.5934385357041</v>
      </c>
    </row>
    <row r="34" spans="1:5">
      <c r="A34" s="12">
        <v>44594</v>
      </c>
      <c r="C34" s="13">
        <f>_xlfn.FORECAST.ETS(A34,$B$2:$B$31,$A$2:$A$31,1,1)</f>
        <v>1703.5666111372775</v>
      </c>
      <c r="D34" s="13">
        <f>C34-_xlfn.FORECAST.ETS.CONFINT(A34,$B$2:$B$31,$A$2:$A$31,0.85,1,1)</f>
        <v>1469.691332313364</v>
      </c>
      <c r="E34" s="13">
        <f>C34+_xlfn.FORECAST.ETS.CONFINT(A34,$B$2:$B$31,$A$2:$A$31,0.85,1,1)</f>
        <v>1937.441889961191</v>
      </c>
    </row>
    <row r="35" spans="1:5">
      <c r="A35" s="12">
        <v>44595</v>
      </c>
      <c r="C35" s="13">
        <f>_xlfn.FORECAST.ETS(A35,$B$2:$B$31,$A$2:$A$31,1,1)</f>
        <v>1723.2199521673142</v>
      </c>
      <c r="D35" s="13">
        <f>C35-_xlfn.FORECAST.ETS.CONFINT(A35,$B$2:$B$31,$A$2:$A$31,0.85,1,1)</f>
        <v>1488.1322707635529</v>
      </c>
      <c r="E35" s="13">
        <f>C35+_xlfn.FORECAST.ETS.CONFINT(A35,$B$2:$B$31,$A$2:$A$31,0.85,1,1)</f>
        <v>1958.3076335710755</v>
      </c>
    </row>
    <row r="36" spans="1:5">
      <c r="A36" s="12">
        <v>44596</v>
      </c>
      <c r="C36" s="13">
        <f>_xlfn.FORECAST.ETS(A36,$B$2:$B$31,$A$2:$A$31,1,1)</f>
        <v>1742.8732931973509</v>
      </c>
      <c r="D36" s="13">
        <f>C36-_xlfn.FORECAST.ETS.CONFINT(A36,$B$2:$B$31,$A$2:$A$31,0.85,1,1)</f>
        <v>1506.5559563912936</v>
      </c>
      <c r="E36" s="13">
        <f>C36+_xlfn.FORECAST.ETS.CONFINT(A36,$B$2:$B$31,$A$2:$A$31,0.85,1,1)</f>
        <v>1979.1906300034082</v>
      </c>
    </row>
    <row r="37" spans="1:5">
      <c r="A37" s="12">
        <v>44597</v>
      </c>
      <c r="C37" s="13">
        <f>_xlfn.FORECAST.ETS(A37,$B$2:$B$31,$A$2:$A$31,1,1)</f>
        <v>1762.5266342273876</v>
      </c>
      <c r="D37" s="13">
        <f>C37-_xlfn.FORECAST.ETS.CONFINT(A37,$B$2:$B$31,$A$2:$A$31,0.85,1,1)</f>
        <v>1524.9624315081933</v>
      </c>
      <c r="E37" s="13">
        <f>C37+_xlfn.FORECAST.ETS.CONFINT(A37,$B$2:$B$31,$A$2:$A$31,0.85,1,1)</f>
        <v>2000.0908369465819</v>
      </c>
    </row>
    <row r="38" spans="1:5">
      <c r="A38" s="12">
        <v>44598</v>
      </c>
      <c r="C38" s="13">
        <f>_xlfn.FORECAST.ETS(A38,$B$2:$B$31,$A$2:$A$31,1,1)</f>
        <v>1782.1799752574243</v>
      </c>
      <c r="D38" s="13">
        <f>C38-_xlfn.FORECAST.ETS.CONFINT(A38,$B$2:$B$31,$A$2:$A$31,0.85,1,1)</f>
        <v>1543.3517412690553</v>
      </c>
      <c r="E38" s="13">
        <f>C38+_xlfn.FORECAST.ETS.CONFINT(A38,$B$2:$B$31,$A$2:$A$31,0.85,1,1)</f>
        <v>2021.0082092457933</v>
      </c>
    </row>
    <row r="39" spans="1:5">
      <c r="A39" s="12">
        <v>44599</v>
      </c>
      <c r="C39" s="13">
        <f>_xlfn.FORECAST.ETS(A39,$B$2:$B$31,$A$2:$A$31,1,1)</f>
        <v>1801.8333162874612</v>
      </c>
      <c r="D39" s="13">
        <f>C39-_xlfn.FORECAST.ETS.CONFINT(A39,$B$2:$B$31,$A$2:$A$31,0.85,1,1)</f>
        <v>1561.7239335657366</v>
      </c>
      <c r="E39" s="13">
        <f>C39+_xlfn.FORECAST.ETS.CONFINT(A39,$B$2:$B$31,$A$2:$A$31,0.85,1,1)</f>
        <v>2041.9426990091858</v>
      </c>
    </row>
  </sheetData>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Sheet1</vt:lpstr>
      <vt:lpstr>Revenue by Sales person &amp; Produ</vt:lpstr>
      <vt:lpstr>Revenue by region</vt:lpstr>
      <vt:lpstr>Line Chart</vt:lpstr>
      <vt:lpstr>Dashboard</vt:lpstr>
      <vt:lpstr>Regression Analysis</vt:lpstr>
      <vt:lpstr>Forecasting</vt:lpstr>
      <vt:lpstr>Forecasting2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 Admin</cp:lastModifiedBy>
  <dcterms:created xsi:type="dcterms:W3CDTF">2026-06-29T19:30:54Z</dcterms:created>
  <dcterms:modified xsi:type="dcterms:W3CDTF">2026-06-29T20:33:12Z</dcterms:modified>
</cp:coreProperties>
</file>
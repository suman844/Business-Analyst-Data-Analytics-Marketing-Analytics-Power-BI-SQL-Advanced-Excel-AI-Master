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84a322079895c3e/Desktop/Sodexo Data/Study material/Assignment/"/>
    </mc:Choice>
  </mc:AlternateContent>
  <xr:revisionPtr revIDLastSave="6" documentId="8_{F1BF32D5-65B5-435D-B9CE-419B72021B39}" xr6:coauthVersionLast="47" xr6:coauthVersionMax="47" xr10:uidLastSave="{DE41302F-3605-4AC9-BAA9-0AE5A046F4AF}"/>
  <bookViews>
    <workbookView xWindow="-110" yWindow="-110" windowWidth="19420" windowHeight="10300" tabRatio="851" firstSheet="4" activeTab="10" xr2:uid="{00000000-000D-0000-FFFF-FFFF00000000}"/>
  </bookViews>
  <sheets>
    <sheet name="Sheet 1" sheetId="1" r:id="rId1"/>
    <sheet name="Vlookup" sheetId="2" r:id="rId2"/>
    <sheet name="Xlookup" sheetId="3" r:id="rId3"/>
    <sheet name="Index &amp; Match" sheetId="4" r:id="rId4"/>
    <sheet name="IF Formula" sheetId="5" r:id="rId5"/>
    <sheet name="IF&amp; AND" sheetId="6" r:id="rId6"/>
    <sheet name="Remove THE" sheetId="7" r:id="rId7"/>
    <sheet name="CONCATENATE" sheetId="8" r:id="rId8"/>
    <sheet name="Pivot table" sheetId="10" r:id="rId9"/>
    <sheet name="Slicer" sheetId="11" r:id="rId10"/>
    <sheet name="Countif" sheetId="16" r:id="rId11"/>
  </sheets>
  <definedNames>
    <definedName name="Slicer_Publication_Year">#N/A</definedName>
    <definedName name="Slicer_Times_Borrowed">#N/A</definedName>
  </definedNames>
  <calcPr calcId="191029"/>
  <pivotCaches>
    <pivotCache cacheId="81" r:id="rId12"/>
    <pivotCache cacheId="10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8" l="1"/>
  <c r="H3" i="7"/>
  <c r="H4" i="7"/>
  <c r="H5" i="7"/>
  <c r="H6" i="7"/>
  <c r="H7" i="7"/>
  <c r="H8" i="7"/>
  <c r="H9" i="7"/>
  <c r="H10" i="7"/>
  <c r="H11" i="7"/>
  <c r="H2" i="7"/>
  <c r="H3" i="6"/>
  <c r="H4" i="6"/>
  <c r="H5" i="6"/>
  <c r="H6" i="6"/>
  <c r="H7" i="6"/>
  <c r="H8" i="6"/>
  <c r="H9" i="6"/>
  <c r="H10" i="6"/>
  <c r="H11" i="6"/>
  <c r="H2" i="6"/>
  <c r="H3" i="5"/>
  <c r="H4" i="5"/>
  <c r="H5" i="5"/>
  <c r="H6" i="5"/>
  <c r="H7" i="5"/>
  <c r="H8" i="5"/>
  <c r="H9" i="5"/>
  <c r="H10" i="5"/>
  <c r="H11" i="5"/>
  <c r="H2" i="5"/>
  <c r="C27" i="4"/>
  <c r="C28" i="4"/>
  <c r="C29" i="4"/>
  <c r="C30" i="4"/>
  <c r="C31" i="4"/>
  <c r="C32" i="4"/>
  <c r="C33" i="4"/>
  <c r="C34" i="4"/>
  <c r="C35" i="4"/>
  <c r="C26" i="4"/>
  <c r="F14" i="4"/>
  <c r="F13" i="4"/>
  <c r="C15" i="4"/>
  <c r="C16" i="4"/>
  <c r="C17" i="4"/>
  <c r="C18" i="4"/>
  <c r="C19" i="4"/>
  <c r="C20" i="4"/>
  <c r="C21" i="4"/>
  <c r="C22" i="4"/>
  <c r="C23" i="4"/>
  <c r="C14" i="4"/>
  <c r="B15" i="3"/>
  <c r="B16" i="3"/>
  <c r="B17" i="3"/>
  <c r="B18" i="3"/>
  <c r="B19" i="3"/>
  <c r="B20" i="3"/>
  <c r="B21" i="3"/>
  <c r="B22" i="3"/>
  <c r="B23" i="3"/>
  <c r="B14" i="3"/>
  <c r="C14" i="2"/>
</calcChain>
</file>

<file path=xl/sharedStrings.xml><?xml version="1.0" encoding="utf-8"?>
<sst xmlns="http://schemas.openxmlformats.org/spreadsheetml/2006/main" count="347" uniqueCount="42">
  <si>
    <t>Book ID</t>
  </si>
  <si>
    <t>Title</t>
  </si>
  <si>
    <t>Author</t>
  </si>
  <si>
    <t>Genre</t>
  </si>
  <si>
    <t>Publication Year</t>
  </si>
  <si>
    <t>Copies Available</t>
  </si>
  <si>
    <t>Times Borrowed</t>
  </si>
  <si>
    <t>The Lord of the Rings</t>
  </si>
  <si>
    <t>J.R.R. Tolkien</t>
  </si>
  <si>
    <t>Fantasy</t>
  </si>
  <si>
    <t>Harry Potter and the Sorcerer's Stone</t>
  </si>
  <si>
    <t>J.K. Rowling</t>
  </si>
  <si>
    <t>The Hunger Games</t>
  </si>
  <si>
    <t>Suzanne Collins</t>
  </si>
  <si>
    <t>Dystopian</t>
  </si>
  <si>
    <t>To Kill a Mockingbird</t>
  </si>
  <si>
    <t>Harper Lee</t>
  </si>
  <si>
    <t>Classic</t>
  </si>
  <si>
    <t>Pride and Prejudice</t>
  </si>
  <si>
    <t>Jane Austen</t>
  </si>
  <si>
    <t>The Martian</t>
  </si>
  <si>
    <t>Andy Weir</t>
  </si>
  <si>
    <t>Sci-Fi</t>
  </si>
  <si>
    <t>George Orwell</t>
  </si>
  <si>
    <t>Animal Farm</t>
  </si>
  <si>
    <t>The Book Thief</t>
  </si>
  <si>
    <t>Markus Zusak</t>
  </si>
  <si>
    <t>Historical Fiction</t>
  </si>
  <si>
    <t>The Fault in Our Stars</t>
  </si>
  <si>
    <t>John Green</t>
  </si>
  <si>
    <t>Romance</t>
  </si>
  <si>
    <t>Row Labels</t>
  </si>
  <si>
    <t>Grand Total</t>
  </si>
  <si>
    <t>Column Labels</t>
  </si>
  <si>
    <t>Sum of Copies Available</t>
  </si>
  <si>
    <t>Sum of Times Borrowed</t>
  </si>
  <si>
    <t>Sum of Times Borrowed2</t>
  </si>
  <si>
    <t>Average of Times Borrowed</t>
  </si>
  <si>
    <t xml:space="preserve">Popularity </t>
  </si>
  <si>
    <t>Less Popular</t>
  </si>
  <si>
    <t>Moderate</t>
  </si>
  <si>
    <t>Popular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</si>
</sst>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1"/>
      <color theme="1"/>
      <name val="Arial"/>
      <family val="2"/>
      <scheme val="minor"/>
    </font>
    <font>
      <sz val="10"/>
      <color theme="1"/>
      <name val="Arial"/>
      <family val="2"/>
      <scheme val="minor"/>
    </font>
  </fonts>
  <fills count="4">
    <fill>
      <patternFill patternType="none"/>
    </fill>
    <fill>
      <patternFill patternType="gray125"/>
    </fill>
    <fill>
      <patternFill patternType="solid">
        <fgColor rgb="FF00FFFF"/>
        <bgColor rgb="FF00FFFF"/>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9">
    <xf numFmtId="0" fontId="0" fillId="0" borderId="0" xfId="0" applyFont="1" applyAlignment="1"/>
    <xf numFmtId="0" fontId="1" fillId="2" borderId="1" xfId="0" applyFont="1" applyFill="1" applyBorder="1" applyAlignment="1"/>
    <xf numFmtId="0" fontId="2" fillId="0" borderId="1" xfId="0" applyFont="1" applyBorder="1" applyAlignment="1"/>
    <xf numFmtId="0" fontId="2" fillId="0" borderId="1" xfId="0" applyFont="1" applyBorder="1" applyAlignment="1">
      <alignment horizontal="left"/>
    </xf>
    <xf numFmtId="0" fontId="0" fillId="3" borderId="0" xfId="0" applyFont="1" applyFill="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1" fillId="2"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133350</xdr:colOff>
      <xdr:row>2</xdr:row>
      <xdr:rowOff>82550</xdr:rowOff>
    </xdr:from>
    <xdr:to>
      <xdr:col>6</xdr:col>
      <xdr:colOff>133350</xdr:colOff>
      <xdr:row>21</xdr:row>
      <xdr:rowOff>25400</xdr:rowOff>
    </xdr:to>
    <mc:AlternateContent xmlns:mc="http://schemas.openxmlformats.org/markup-compatibility/2006">
      <mc:Choice xmlns:a14="http://schemas.microsoft.com/office/drawing/2010/main" Requires="a14">
        <xdr:graphicFrame macro="">
          <xdr:nvGraphicFramePr>
            <xdr:cNvPr id="2" name="Publication Year">
              <a:extLst>
                <a:ext uri="{FF2B5EF4-FFF2-40B4-BE49-F238E27FC236}">
                  <a16:creationId xmlns:a16="http://schemas.microsoft.com/office/drawing/2014/main" id="{57E8D1F8-5F54-E88D-D231-B5EEEF2274CD}"/>
                </a:ext>
              </a:extLst>
            </xdr:cNvPr>
            <xdr:cNvGraphicFramePr/>
          </xdr:nvGraphicFramePr>
          <xdr:xfrm>
            <a:off x="0" y="0"/>
            <a:ext cx="0" cy="0"/>
          </xdr:xfrm>
          <a:graphic>
            <a:graphicData uri="http://schemas.microsoft.com/office/drawing/2010/slicer">
              <sle:slicer xmlns:sle="http://schemas.microsoft.com/office/drawing/2010/slicer" name="Publication Year"/>
            </a:graphicData>
          </a:graphic>
        </xdr:graphicFrame>
      </mc:Choice>
      <mc:Fallback>
        <xdr:sp macro="" textlink="">
          <xdr:nvSpPr>
            <xdr:cNvPr id="0" name=""/>
            <xdr:cNvSpPr>
              <a:spLocks noTextEdit="1"/>
            </xdr:cNvSpPr>
          </xdr:nvSpPr>
          <xdr:spPr>
            <a:xfrm>
              <a:off x="3175000" y="400050"/>
              <a:ext cx="1828800" cy="295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120650</xdr:colOff>
      <xdr:row>2</xdr:row>
      <xdr:rowOff>82550</xdr:rowOff>
    </xdr:from>
    <xdr:to>
      <xdr:col>9</xdr:col>
      <xdr:colOff>120650</xdr:colOff>
      <xdr:row>21</xdr:row>
      <xdr:rowOff>31750</xdr:rowOff>
    </xdr:to>
    <mc:AlternateContent xmlns:mc="http://schemas.openxmlformats.org/markup-compatibility/2006">
      <mc:Choice xmlns:a14="http://schemas.microsoft.com/office/drawing/2010/main" Requires="a14">
        <xdr:graphicFrame macro="">
          <xdr:nvGraphicFramePr>
            <xdr:cNvPr id="3" name="Times Borrowed">
              <a:extLst>
                <a:ext uri="{FF2B5EF4-FFF2-40B4-BE49-F238E27FC236}">
                  <a16:creationId xmlns:a16="http://schemas.microsoft.com/office/drawing/2014/main" id="{3192E757-E56D-E229-C00A-97DA83DDF51D}"/>
                </a:ext>
              </a:extLst>
            </xdr:cNvPr>
            <xdr:cNvGraphicFramePr/>
          </xdr:nvGraphicFramePr>
          <xdr:xfrm>
            <a:off x="0" y="0"/>
            <a:ext cx="0" cy="0"/>
          </xdr:xfrm>
          <a:graphic>
            <a:graphicData uri="http://schemas.microsoft.com/office/drawing/2010/slicer">
              <sle:slicer xmlns:sle="http://schemas.microsoft.com/office/drawing/2010/slicer" name="Times Borrowed"/>
            </a:graphicData>
          </a:graphic>
        </xdr:graphicFrame>
      </mc:Choice>
      <mc:Fallback>
        <xdr:sp macro="" textlink="">
          <xdr:nvSpPr>
            <xdr:cNvPr id="0" name=""/>
            <xdr:cNvSpPr>
              <a:spLocks noTextEdit="1"/>
            </xdr:cNvSpPr>
          </xdr:nvSpPr>
          <xdr:spPr>
            <a:xfrm>
              <a:off x="4991100" y="400050"/>
              <a:ext cx="1828800" cy="296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bHATNAGAR" refreshedDate="46190.749426388888" createdVersion="8" refreshedVersion="8" minRefreshableVersion="3" recordCount="10" xr:uid="{C1BAAF27-6B16-47F8-8BC3-BC6ECF274725}">
  <cacheSource type="worksheet">
    <worksheetSource ref="A1:G11" sheet="Sheet 1"/>
  </cacheSource>
  <cacheFields count="7">
    <cacheField name="Book ID" numFmtId="0">
      <sharedItems containsSemiMixedTypes="0" containsString="0" containsNumber="1" containsInteger="1" minValue="1" maxValue="10"/>
    </cacheField>
    <cacheField name="Title" numFmtId="0">
      <sharedItems containsMixedTypes="1" containsNumber="1" containsInteger="1" minValue="1984" maxValue="1984"/>
    </cacheField>
    <cacheField name="Author" numFmtId="0">
      <sharedItems/>
    </cacheField>
    <cacheField name="Genre" numFmtId="0">
      <sharedItems count="6">
        <s v="Fantasy"/>
        <s v="Dystopian"/>
        <s v="Classic"/>
        <s v="Sci-Fi"/>
        <s v="Historical Fiction"/>
        <s v="Romance"/>
      </sharedItems>
    </cacheField>
    <cacheField name="Publication Year" numFmtId="0">
      <sharedItems containsSemiMixedTypes="0" containsString="0" containsNumber="1" containsInteger="1" minValue="1813" maxValue="2012" count="10">
        <n v="1954"/>
        <n v="1997"/>
        <n v="2008"/>
        <n v="1960"/>
        <n v="1813"/>
        <n v="2011"/>
        <n v="1949"/>
        <n v="1945"/>
        <n v="2005"/>
        <n v="2012"/>
      </sharedItems>
    </cacheField>
    <cacheField name="Copies Available" numFmtId="0">
      <sharedItems containsSemiMixedTypes="0" containsString="0" containsNumber="1" containsInteger="1" minValue="1" maxValue="8" count="6">
        <n v="5"/>
        <n v="8"/>
        <n v="3"/>
        <n v="4"/>
        <n v="2"/>
        <n v="1"/>
      </sharedItems>
    </cacheField>
    <cacheField name="Times Borrowed" numFmtId="0">
      <sharedItems containsSemiMixedTypes="0" containsString="0" containsNumber="1" containsInteger="1" minValue="30" maxValue="150" count="10">
        <n v="120"/>
        <n v="150"/>
        <n v="80"/>
        <n v="95"/>
        <n v="50"/>
        <n v="75"/>
        <n v="60"/>
        <n v="30"/>
        <n v="100"/>
        <n v="45"/>
      </sharedItems>
    </cacheField>
  </cacheFields>
  <extLst>
    <ext xmlns:x14="http://schemas.microsoft.com/office/spreadsheetml/2009/9/main" uri="{725AE2AE-9491-48be-B2B4-4EB974FC3084}">
      <x14:pivotCacheDefinition pivotCacheId="8353707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bHATNAGAR" refreshedDate="46190.819812847221" createdVersion="8" refreshedVersion="8" minRefreshableVersion="3" recordCount="10" xr:uid="{7B161B5B-D26E-4620-A13D-70BDE0589809}">
  <cacheSource type="worksheet">
    <worksheetSource ref="A1:H11" sheet="IF Formula"/>
  </cacheSource>
  <cacheFields count="8">
    <cacheField name="Book ID" numFmtId="0">
      <sharedItems containsSemiMixedTypes="0" containsString="0" containsNumber="1" containsInteger="1" minValue="1" maxValue="10"/>
    </cacheField>
    <cacheField name="Title" numFmtId="0">
      <sharedItems containsMixedTypes="1" containsNumber="1" containsInteger="1" minValue="1984" maxValue="1984"/>
    </cacheField>
    <cacheField name="Author" numFmtId="0">
      <sharedItems/>
    </cacheField>
    <cacheField name="Genre" numFmtId="0">
      <sharedItems count="6">
        <s v="Fantasy"/>
        <s v="Dystopian"/>
        <s v="Classic"/>
        <s v="Sci-Fi"/>
        <s v="Historical Fiction"/>
        <s v="Romance"/>
      </sharedItems>
    </cacheField>
    <cacheField name="Publication Year" numFmtId="0">
      <sharedItems containsSemiMixedTypes="0" containsString="0" containsNumber="1" containsInteger="1" minValue="1813" maxValue="2012"/>
    </cacheField>
    <cacheField name="Copies Available" numFmtId="0">
      <sharedItems containsSemiMixedTypes="0" containsString="0" containsNumber="1" containsInteger="1" minValue="1" maxValue="8"/>
    </cacheField>
    <cacheField name="Times Borrowed" numFmtId="0">
      <sharedItems containsSemiMixedTypes="0" containsString="0" containsNumber="1" containsInteger="1" minValue="30" maxValue="150" count="10">
        <n v="120"/>
        <n v="150"/>
        <n v="80"/>
        <n v="95"/>
        <n v="50"/>
        <n v="75"/>
        <n v="60"/>
        <n v="30"/>
        <n v="100"/>
        <n v="45"/>
      </sharedItems>
    </cacheField>
    <cacheField name="Popularity " numFmtId="0">
      <sharedItems count="3">
        <s v="Popular"/>
        <s v="Moderate"/>
        <s v="Less Popula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The Lord of the Rings"/>
    <s v="J.R.R. Tolkien"/>
    <x v="0"/>
    <x v="0"/>
    <x v="0"/>
    <x v="0"/>
  </r>
  <r>
    <n v="2"/>
    <s v="Harry Potter and the Sorcerer's Stone"/>
    <s v="J.K. Rowling"/>
    <x v="0"/>
    <x v="1"/>
    <x v="1"/>
    <x v="1"/>
  </r>
  <r>
    <n v="3"/>
    <s v="The Hunger Games"/>
    <s v="Suzanne Collins"/>
    <x v="1"/>
    <x v="2"/>
    <x v="2"/>
    <x v="2"/>
  </r>
  <r>
    <n v="4"/>
    <s v="To Kill a Mockingbird"/>
    <s v="Harper Lee"/>
    <x v="2"/>
    <x v="3"/>
    <x v="3"/>
    <x v="3"/>
  </r>
  <r>
    <n v="5"/>
    <s v="Pride and Prejudice"/>
    <s v="Jane Austen"/>
    <x v="2"/>
    <x v="4"/>
    <x v="4"/>
    <x v="4"/>
  </r>
  <r>
    <n v="6"/>
    <s v="The Martian"/>
    <s v="Andy Weir"/>
    <x v="3"/>
    <x v="5"/>
    <x v="2"/>
    <x v="5"/>
  </r>
  <r>
    <n v="7"/>
    <n v="1984"/>
    <s v="George Orwell"/>
    <x v="1"/>
    <x v="6"/>
    <x v="4"/>
    <x v="6"/>
  </r>
  <r>
    <n v="8"/>
    <s v="Animal Farm"/>
    <s v="George Orwell"/>
    <x v="2"/>
    <x v="7"/>
    <x v="5"/>
    <x v="7"/>
  </r>
  <r>
    <n v="9"/>
    <s v="The Book Thief"/>
    <s v="Markus Zusak"/>
    <x v="4"/>
    <x v="8"/>
    <x v="3"/>
    <x v="8"/>
  </r>
  <r>
    <n v="10"/>
    <s v="The Fault in Our Stars"/>
    <s v="John Green"/>
    <x v="5"/>
    <x v="9"/>
    <x v="4"/>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The Lord of the Rings"/>
    <s v="J.R.R. Tolkien"/>
    <x v="0"/>
    <n v="1954"/>
    <n v="5"/>
    <x v="0"/>
    <x v="0"/>
  </r>
  <r>
    <n v="2"/>
    <s v="Harry Potter and the Sorcerer's Stone"/>
    <s v="J.K. Rowling"/>
    <x v="0"/>
    <n v="1997"/>
    <n v="8"/>
    <x v="1"/>
    <x v="0"/>
  </r>
  <r>
    <n v="3"/>
    <s v="The Hunger Games"/>
    <s v="Suzanne Collins"/>
    <x v="1"/>
    <n v="2008"/>
    <n v="3"/>
    <x v="2"/>
    <x v="1"/>
  </r>
  <r>
    <n v="4"/>
    <s v="To Kill a Mockingbird"/>
    <s v="Harper Lee"/>
    <x v="2"/>
    <n v="1960"/>
    <n v="4"/>
    <x v="3"/>
    <x v="1"/>
  </r>
  <r>
    <n v="5"/>
    <s v="Pride and Prejudice"/>
    <s v="Jane Austen"/>
    <x v="2"/>
    <n v="1813"/>
    <n v="2"/>
    <x v="4"/>
    <x v="1"/>
  </r>
  <r>
    <n v="6"/>
    <s v="The Martian"/>
    <s v="Andy Weir"/>
    <x v="3"/>
    <n v="2011"/>
    <n v="3"/>
    <x v="5"/>
    <x v="1"/>
  </r>
  <r>
    <n v="7"/>
    <n v="1984"/>
    <s v="George Orwell"/>
    <x v="1"/>
    <n v="1949"/>
    <n v="2"/>
    <x v="6"/>
    <x v="1"/>
  </r>
  <r>
    <n v="8"/>
    <s v="Animal Farm"/>
    <s v="George Orwell"/>
    <x v="2"/>
    <n v="1945"/>
    <n v="1"/>
    <x v="7"/>
    <x v="2"/>
  </r>
  <r>
    <n v="9"/>
    <s v="The Book Thief"/>
    <s v="Markus Zusak"/>
    <x v="4"/>
    <n v="2005"/>
    <n v="4"/>
    <x v="8"/>
    <x v="0"/>
  </r>
  <r>
    <n v="10"/>
    <s v="The Fault in Our Stars"/>
    <s v="John Green"/>
    <x v="5"/>
    <n v="2012"/>
    <n v="2"/>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71634E-E908-48AB-AA07-3F105EE22E31}" name="PivotTable4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7">
    <pivotField showAll="0"/>
    <pivotField showAll="0"/>
    <pivotField showAll="0"/>
    <pivotField axis="axisRow" showAll="0">
      <items count="7">
        <item x="2"/>
        <item x="1"/>
        <item x="0"/>
        <item x="4"/>
        <item x="5"/>
        <item x="3"/>
        <item t="default"/>
      </items>
    </pivotField>
    <pivotField showAll="0">
      <items count="11">
        <item x="4"/>
        <item x="7"/>
        <item x="6"/>
        <item x="0"/>
        <item x="3"/>
        <item x="1"/>
        <item x="8"/>
        <item x="2"/>
        <item x="5"/>
        <item x="9"/>
        <item t="default"/>
      </items>
    </pivotField>
    <pivotField dataField="1" showAll="0">
      <items count="7">
        <item x="5"/>
        <item x="4"/>
        <item x="2"/>
        <item x="3"/>
        <item x="0"/>
        <item x="1"/>
        <item t="default"/>
      </items>
    </pivotField>
    <pivotField dataField="1" showAll="0">
      <items count="11">
        <item x="7"/>
        <item x="9"/>
        <item x="4"/>
        <item x="6"/>
        <item x="5"/>
        <item x="2"/>
        <item x="3"/>
        <item x="8"/>
        <item x="0"/>
        <item x="1"/>
        <item t="default"/>
      </items>
    </pivotField>
  </pivotFields>
  <rowFields count="1">
    <field x="3"/>
  </rowFields>
  <rowItems count="7">
    <i>
      <x/>
    </i>
    <i>
      <x v="1"/>
    </i>
    <i>
      <x v="2"/>
    </i>
    <i>
      <x v="3"/>
    </i>
    <i>
      <x v="4"/>
    </i>
    <i>
      <x v="5"/>
    </i>
    <i t="grand">
      <x/>
    </i>
  </rowItems>
  <colFields count="1">
    <field x="-2"/>
  </colFields>
  <colItems count="3">
    <i>
      <x/>
    </i>
    <i i="1">
      <x v="1"/>
    </i>
    <i i="2">
      <x v="2"/>
    </i>
  </colItems>
  <dataFields count="3">
    <dataField name="Sum of Copies Available" fld="5" baseField="0" baseItem="0"/>
    <dataField name="Sum of Times Borrowed2" fld="6" baseField="0" baseItem="0"/>
    <dataField name="Average of Times Borrowed"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D58BC-7516-4F3A-82EB-5EE9BF9AF775}" name="PivotTable4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7">
    <pivotField showAll="0"/>
    <pivotField showAll="0"/>
    <pivotField showAll="0"/>
    <pivotField showAll="0"/>
    <pivotField axis="axisRow" showAll="0">
      <items count="11">
        <item x="4"/>
        <item x="7"/>
        <item x="6"/>
        <item x="0"/>
        <item x="3"/>
        <item x="1"/>
        <item x="8"/>
        <item x="2"/>
        <item x="5"/>
        <item x="9"/>
        <item t="default"/>
      </items>
    </pivotField>
    <pivotField showAll="0"/>
    <pivotField dataField="1" showAll="0">
      <items count="11">
        <item x="7"/>
        <item x="9"/>
        <item x="4"/>
        <item x="6"/>
        <item x="5"/>
        <item x="2"/>
        <item x="3"/>
        <item x="8"/>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Sum of Times Borrow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C48B08-821F-47F0-8B6E-98DC2AD4B7CE}" name="PivotTable5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1" firstDataRow="2" firstDataCol="1"/>
  <pivotFields count="8">
    <pivotField showAll="0"/>
    <pivotField showAll="0"/>
    <pivotField showAll="0"/>
    <pivotField axis="axisCol" showAll="0">
      <items count="7">
        <item x="2"/>
        <item x="1"/>
        <item x="0"/>
        <item x="4"/>
        <item x="5"/>
        <item x="3"/>
        <item t="default"/>
      </items>
    </pivotField>
    <pivotField showAll="0"/>
    <pivotField showAll="0"/>
    <pivotField dataField="1" showAll="0">
      <items count="11">
        <item x="7"/>
        <item x="9"/>
        <item x="4"/>
        <item x="6"/>
        <item x="5"/>
        <item x="2"/>
        <item x="3"/>
        <item x="8"/>
        <item x="0"/>
        <item x="1"/>
        <item t="default"/>
      </items>
    </pivotField>
    <pivotField axis="axisRow" showAll="0">
      <items count="4">
        <item x="2"/>
        <item x="1"/>
        <item x="0"/>
        <item t="default"/>
      </items>
    </pivotField>
  </pivotFields>
  <rowFields count="1">
    <field x="7"/>
  </rowFields>
  <rowItems count="4">
    <i>
      <x/>
    </i>
    <i>
      <x v="1"/>
    </i>
    <i>
      <x v="2"/>
    </i>
    <i t="grand">
      <x/>
    </i>
  </rowItems>
  <colFields count="1">
    <field x="3"/>
  </colFields>
  <colItems count="7">
    <i>
      <x/>
    </i>
    <i>
      <x v="1"/>
    </i>
    <i>
      <x v="2"/>
    </i>
    <i>
      <x v="3"/>
    </i>
    <i>
      <x v="4"/>
    </i>
    <i>
      <x v="5"/>
    </i>
    <i t="grand">
      <x/>
    </i>
  </colItems>
  <dataFields count="1">
    <dataField name="Sum of Times Borrow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Year" xr10:uid="{9C8B3FA3-CD73-40A7-B431-90DFEDA9C9D4}" sourceName="Publication Year">
  <pivotTables>
    <pivotTable tabId="11" name="PivotTable47"/>
  </pivotTables>
  <data>
    <tabular pivotCacheId="835370786">
      <items count="10">
        <i x="4" s="1"/>
        <i x="7" s="1"/>
        <i x="6" s="1"/>
        <i x="0" s="1"/>
        <i x="3" s="1"/>
        <i x="1" s="1"/>
        <i x="8" s="1"/>
        <i x="2"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Borrowed" xr10:uid="{0D8A8F2A-0898-4C8F-ABF5-EACCDE65DCA0}" sourceName="Times Borrowed">
  <pivotTables>
    <pivotTable tabId="11" name="PivotTable47"/>
  </pivotTables>
  <data>
    <tabular pivotCacheId="835370786">
      <items count="10">
        <i x="7" s="1"/>
        <i x="9" s="1"/>
        <i x="4" s="1"/>
        <i x="6" s="1"/>
        <i x="5" s="1"/>
        <i x="2" s="1"/>
        <i x="3" s="1"/>
        <i x="8"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cation Year" xr10:uid="{EDC1CB1A-36D0-4B0F-8929-727CFD17BA09}" cache="Slicer_Publication_Year" caption="Publication Year" rowHeight="220133"/>
  <slicer name="Times Borrowed" xr10:uid="{268E201D-8FC0-4BA4-936A-4E19FC2F8524}" cache="Slicer_Times_Borrowed" caption="Times Borrowed"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1"/>
  <sheetViews>
    <sheetView workbookViewId="0">
      <selection activeCell="D13" sqref="D13"/>
    </sheetView>
  </sheetViews>
  <sheetFormatPr defaultColWidth="12.6328125" defaultRowHeight="15.75" customHeight="1" x14ac:dyDescent="0.25"/>
  <cols>
    <col min="1" max="1" width="7.90625" customWidth="1"/>
    <col min="2" max="2" width="28.90625" customWidth="1"/>
    <col min="3" max="3" width="13" customWidth="1"/>
    <col min="4" max="4" width="13.26953125" customWidth="1"/>
    <col min="5" max="5" width="15.26953125" customWidth="1"/>
    <col min="6" max="6" width="15.6328125" customWidth="1"/>
    <col min="7" max="7" width="15.36328125" customWidth="1"/>
  </cols>
  <sheetData>
    <row r="1" spans="1:7" x14ac:dyDescent="0.3">
      <c r="A1" s="1" t="s">
        <v>0</v>
      </c>
      <c r="B1" s="1" t="s">
        <v>1</v>
      </c>
      <c r="C1" s="1" t="s">
        <v>2</v>
      </c>
      <c r="D1" s="1" t="s">
        <v>3</v>
      </c>
      <c r="E1" s="1" t="s">
        <v>4</v>
      </c>
      <c r="F1" s="1" t="s">
        <v>5</v>
      </c>
      <c r="G1" s="1" t="s">
        <v>6</v>
      </c>
    </row>
    <row r="2" spans="1:7" ht="15.75" customHeight="1" x14ac:dyDescent="0.25">
      <c r="A2" s="2">
        <v>1</v>
      </c>
      <c r="B2" s="2" t="s">
        <v>7</v>
      </c>
      <c r="C2" s="2" t="s">
        <v>8</v>
      </c>
      <c r="D2" s="2" t="s">
        <v>9</v>
      </c>
      <c r="E2" s="2">
        <v>1954</v>
      </c>
      <c r="F2" s="2">
        <v>5</v>
      </c>
      <c r="G2" s="2">
        <v>120</v>
      </c>
    </row>
    <row r="3" spans="1:7" ht="15.75" customHeight="1" x14ac:dyDescent="0.25">
      <c r="A3" s="2">
        <v>2</v>
      </c>
      <c r="B3" s="2" t="s">
        <v>10</v>
      </c>
      <c r="C3" s="2" t="s">
        <v>11</v>
      </c>
      <c r="D3" s="2" t="s">
        <v>9</v>
      </c>
      <c r="E3" s="2">
        <v>1997</v>
      </c>
      <c r="F3" s="2">
        <v>8</v>
      </c>
      <c r="G3" s="2">
        <v>150</v>
      </c>
    </row>
    <row r="4" spans="1:7" ht="15.75" customHeight="1" x14ac:dyDescent="0.25">
      <c r="A4" s="2">
        <v>3</v>
      </c>
      <c r="B4" s="2" t="s">
        <v>12</v>
      </c>
      <c r="C4" s="2" t="s">
        <v>13</v>
      </c>
      <c r="D4" s="2" t="s">
        <v>14</v>
      </c>
      <c r="E4" s="2">
        <v>2008</v>
      </c>
      <c r="F4" s="2">
        <v>3</v>
      </c>
      <c r="G4" s="2">
        <v>80</v>
      </c>
    </row>
    <row r="5" spans="1:7" ht="15.75" customHeight="1" x14ac:dyDescent="0.25">
      <c r="A5" s="2">
        <v>4</v>
      </c>
      <c r="B5" s="2" t="s">
        <v>15</v>
      </c>
      <c r="C5" s="2" t="s">
        <v>16</v>
      </c>
      <c r="D5" s="2" t="s">
        <v>17</v>
      </c>
      <c r="E5" s="2">
        <v>1960</v>
      </c>
      <c r="F5" s="2">
        <v>4</v>
      </c>
      <c r="G5" s="2">
        <v>95</v>
      </c>
    </row>
    <row r="6" spans="1:7" ht="15.75" customHeight="1" x14ac:dyDescent="0.25">
      <c r="A6" s="2">
        <v>5</v>
      </c>
      <c r="B6" s="2" t="s">
        <v>18</v>
      </c>
      <c r="C6" s="2" t="s">
        <v>19</v>
      </c>
      <c r="D6" s="2" t="s">
        <v>17</v>
      </c>
      <c r="E6" s="2">
        <v>1813</v>
      </c>
      <c r="F6" s="2">
        <v>2</v>
      </c>
      <c r="G6" s="2">
        <v>50</v>
      </c>
    </row>
    <row r="7" spans="1:7" ht="15.75" customHeight="1" x14ac:dyDescent="0.25">
      <c r="A7" s="2">
        <v>6</v>
      </c>
      <c r="B7" s="2" t="s">
        <v>20</v>
      </c>
      <c r="C7" s="2" t="s">
        <v>21</v>
      </c>
      <c r="D7" s="2" t="s">
        <v>22</v>
      </c>
      <c r="E7" s="2">
        <v>2011</v>
      </c>
      <c r="F7" s="2">
        <v>3</v>
      </c>
      <c r="G7" s="2">
        <v>75</v>
      </c>
    </row>
    <row r="8" spans="1:7" ht="15.75" customHeight="1" x14ac:dyDescent="0.25">
      <c r="A8" s="2">
        <v>7</v>
      </c>
      <c r="B8" s="3">
        <v>1984</v>
      </c>
      <c r="C8" s="2" t="s">
        <v>23</v>
      </c>
      <c r="D8" s="2" t="s">
        <v>14</v>
      </c>
      <c r="E8" s="2">
        <v>1949</v>
      </c>
      <c r="F8" s="2">
        <v>2</v>
      </c>
      <c r="G8" s="2">
        <v>60</v>
      </c>
    </row>
    <row r="9" spans="1:7" ht="15.75" customHeight="1" x14ac:dyDescent="0.25">
      <c r="A9" s="2">
        <v>8</v>
      </c>
      <c r="B9" s="2" t="s">
        <v>24</v>
      </c>
      <c r="C9" s="2" t="s">
        <v>23</v>
      </c>
      <c r="D9" s="2" t="s">
        <v>17</v>
      </c>
      <c r="E9" s="2">
        <v>1945</v>
      </c>
      <c r="F9" s="2">
        <v>1</v>
      </c>
      <c r="G9" s="2">
        <v>30</v>
      </c>
    </row>
    <row r="10" spans="1:7" ht="15.75" customHeight="1" x14ac:dyDescent="0.25">
      <c r="A10" s="2">
        <v>9</v>
      </c>
      <c r="B10" s="2" t="s">
        <v>25</v>
      </c>
      <c r="C10" s="2" t="s">
        <v>26</v>
      </c>
      <c r="D10" s="2" t="s">
        <v>27</v>
      </c>
      <c r="E10" s="2">
        <v>2005</v>
      </c>
      <c r="F10" s="2">
        <v>4</v>
      </c>
      <c r="G10" s="2">
        <v>100</v>
      </c>
    </row>
    <row r="11" spans="1:7" ht="15.75" customHeight="1" x14ac:dyDescent="0.25">
      <c r="A11" s="2">
        <v>10</v>
      </c>
      <c r="B11" s="2" t="s">
        <v>28</v>
      </c>
      <c r="C11" s="2" t="s">
        <v>29</v>
      </c>
      <c r="D11" s="2" t="s">
        <v>30</v>
      </c>
      <c r="E11" s="2">
        <v>2012</v>
      </c>
      <c r="F11" s="2">
        <v>2</v>
      </c>
      <c r="G11" s="2">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87AF-0725-4F0D-94D5-DAB59CCF5136}">
  <dimension ref="A1:G14"/>
  <sheetViews>
    <sheetView workbookViewId="0">
      <selection activeCell="C14" sqref="C14"/>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s>
  <sheetData>
    <row r="1" spans="1:7" ht="14" x14ac:dyDescent="0.3">
      <c r="A1" s="1" t="s">
        <v>0</v>
      </c>
      <c r="B1" s="1" t="s">
        <v>1</v>
      </c>
      <c r="C1" s="1" t="s">
        <v>2</v>
      </c>
      <c r="D1" s="1" t="s">
        <v>3</v>
      </c>
      <c r="E1" s="1" t="s">
        <v>4</v>
      </c>
      <c r="F1" s="1" t="s">
        <v>5</v>
      </c>
      <c r="G1" s="1" t="s">
        <v>6</v>
      </c>
    </row>
    <row r="2" spans="1:7" x14ac:dyDescent="0.25">
      <c r="A2" s="2">
        <v>1</v>
      </c>
      <c r="B2" s="2" t="s">
        <v>7</v>
      </c>
      <c r="C2" s="2" t="s">
        <v>8</v>
      </c>
      <c r="D2" s="2" t="s">
        <v>9</v>
      </c>
      <c r="E2" s="2">
        <v>1954</v>
      </c>
      <c r="F2" s="2">
        <v>5</v>
      </c>
      <c r="G2" s="2">
        <v>120</v>
      </c>
    </row>
    <row r="3" spans="1:7" x14ac:dyDescent="0.25">
      <c r="A3" s="2">
        <v>2</v>
      </c>
      <c r="B3" s="2" t="s">
        <v>10</v>
      </c>
      <c r="C3" s="2" t="s">
        <v>11</v>
      </c>
      <c r="D3" s="2" t="s">
        <v>9</v>
      </c>
      <c r="E3" s="2">
        <v>1997</v>
      </c>
      <c r="F3" s="2">
        <v>8</v>
      </c>
      <c r="G3" s="2">
        <v>150</v>
      </c>
    </row>
    <row r="4" spans="1:7" x14ac:dyDescent="0.25">
      <c r="A4" s="2">
        <v>3</v>
      </c>
      <c r="B4" s="2" t="s">
        <v>12</v>
      </c>
      <c r="C4" s="2" t="s">
        <v>13</v>
      </c>
      <c r="D4" s="2" t="s">
        <v>14</v>
      </c>
      <c r="E4" s="2">
        <v>2008</v>
      </c>
      <c r="F4" s="2">
        <v>3</v>
      </c>
      <c r="G4" s="2">
        <v>80</v>
      </c>
    </row>
    <row r="5" spans="1:7" x14ac:dyDescent="0.25">
      <c r="A5" s="2">
        <v>4</v>
      </c>
      <c r="B5" s="2" t="s">
        <v>15</v>
      </c>
      <c r="C5" s="2" t="s">
        <v>16</v>
      </c>
      <c r="D5" s="2" t="s">
        <v>17</v>
      </c>
      <c r="E5" s="2">
        <v>1960</v>
      </c>
      <c r="F5" s="2">
        <v>4</v>
      </c>
      <c r="G5" s="2">
        <v>95</v>
      </c>
    </row>
    <row r="6" spans="1:7" x14ac:dyDescent="0.25">
      <c r="A6" s="2">
        <v>5</v>
      </c>
      <c r="B6" s="2" t="s">
        <v>18</v>
      </c>
      <c r="C6" s="2" t="s">
        <v>19</v>
      </c>
      <c r="D6" s="2" t="s">
        <v>17</v>
      </c>
      <c r="E6" s="2">
        <v>1813</v>
      </c>
      <c r="F6" s="2">
        <v>2</v>
      </c>
      <c r="G6" s="2">
        <v>50</v>
      </c>
    </row>
    <row r="7" spans="1:7" x14ac:dyDescent="0.25">
      <c r="A7" s="2">
        <v>6</v>
      </c>
      <c r="B7" s="2" t="s">
        <v>20</v>
      </c>
      <c r="C7" s="2" t="s">
        <v>21</v>
      </c>
      <c r="D7" s="2" t="s">
        <v>22</v>
      </c>
      <c r="E7" s="2">
        <v>2011</v>
      </c>
      <c r="F7" s="2">
        <v>3</v>
      </c>
      <c r="G7" s="2">
        <v>75</v>
      </c>
    </row>
    <row r="8" spans="1:7" x14ac:dyDescent="0.25">
      <c r="A8" s="2">
        <v>7</v>
      </c>
      <c r="B8" s="3">
        <v>1984</v>
      </c>
      <c r="C8" s="2" t="s">
        <v>23</v>
      </c>
      <c r="D8" s="2" t="s">
        <v>14</v>
      </c>
      <c r="E8" s="2">
        <v>1949</v>
      </c>
      <c r="F8" s="2">
        <v>2</v>
      </c>
      <c r="G8" s="2">
        <v>60</v>
      </c>
    </row>
    <row r="9" spans="1:7" x14ac:dyDescent="0.25">
      <c r="A9" s="2">
        <v>8</v>
      </c>
      <c r="B9" s="2" t="s">
        <v>24</v>
      </c>
      <c r="C9" s="2" t="s">
        <v>23</v>
      </c>
      <c r="D9" s="2" t="s">
        <v>17</v>
      </c>
      <c r="E9" s="2">
        <v>1945</v>
      </c>
      <c r="F9" s="2">
        <v>1</v>
      </c>
      <c r="G9" s="2">
        <v>30</v>
      </c>
    </row>
    <row r="10" spans="1:7" x14ac:dyDescent="0.25">
      <c r="A10" s="2">
        <v>9</v>
      </c>
      <c r="B10" s="2" t="s">
        <v>25</v>
      </c>
      <c r="C10" s="2" t="s">
        <v>26</v>
      </c>
      <c r="D10" s="2" t="s">
        <v>27</v>
      </c>
      <c r="E10" s="2">
        <v>2005</v>
      </c>
      <c r="F10" s="2">
        <v>4</v>
      </c>
      <c r="G10" s="2">
        <v>100</v>
      </c>
    </row>
    <row r="11" spans="1:7" x14ac:dyDescent="0.25">
      <c r="A11" s="2">
        <v>10</v>
      </c>
      <c r="B11" s="2" t="s">
        <v>28</v>
      </c>
      <c r="C11" s="2" t="s">
        <v>29</v>
      </c>
      <c r="D11" s="2" t="s">
        <v>30</v>
      </c>
      <c r="E11" s="2">
        <v>2012</v>
      </c>
      <c r="F11" s="2">
        <v>2</v>
      </c>
      <c r="G11" s="2">
        <v>45</v>
      </c>
    </row>
    <row r="13" spans="1:7" ht="14" x14ac:dyDescent="0.3">
      <c r="A13" s="1" t="s">
        <v>0</v>
      </c>
      <c r="B13" s="1" t="s">
        <v>1</v>
      </c>
      <c r="C13" s="1" t="s">
        <v>2</v>
      </c>
    </row>
    <row r="14" spans="1:7" x14ac:dyDescent="0.25">
      <c r="A14" s="2">
        <v>3</v>
      </c>
      <c r="B14" s="2" t="s">
        <v>12</v>
      </c>
      <c r="C14" t="str">
        <f>VLOOKUP(B14,B1:C11,2,0)</f>
        <v>Suzanne Collins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D4BF4-E438-4C6D-8249-9F8239FA7782}">
  <dimension ref="A1:G23"/>
  <sheetViews>
    <sheetView topLeftCell="A9" workbookViewId="0">
      <selection activeCell="B14" sqref="B14:B23"/>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s>
  <sheetData>
    <row r="1" spans="1:7" ht="14" x14ac:dyDescent="0.3">
      <c r="A1" s="1" t="s">
        <v>0</v>
      </c>
      <c r="B1" s="1" t="s">
        <v>1</v>
      </c>
      <c r="C1" s="1" t="s">
        <v>2</v>
      </c>
      <c r="D1" s="1" t="s">
        <v>3</v>
      </c>
      <c r="E1" s="1" t="s">
        <v>4</v>
      </c>
      <c r="F1" s="1" t="s">
        <v>5</v>
      </c>
      <c r="G1" s="1" t="s">
        <v>6</v>
      </c>
    </row>
    <row r="2" spans="1:7" x14ac:dyDescent="0.25">
      <c r="A2" s="2">
        <v>1</v>
      </c>
      <c r="B2" s="2" t="s">
        <v>7</v>
      </c>
      <c r="C2" s="2" t="s">
        <v>8</v>
      </c>
      <c r="D2" s="2" t="s">
        <v>9</v>
      </c>
      <c r="E2" s="2">
        <v>1954</v>
      </c>
      <c r="F2" s="2">
        <v>5</v>
      </c>
      <c r="G2" s="2">
        <v>120</v>
      </c>
    </row>
    <row r="3" spans="1:7" x14ac:dyDescent="0.25">
      <c r="A3" s="2">
        <v>2</v>
      </c>
      <c r="B3" s="2" t="s">
        <v>10</v>
      </c>
      <c r="C3" s="2" t="s">
        <v>11</v>
      </c>
      <c r="D3" s="2" t="s">
        <v>9</v>
      </c>
      <c r="E3" s="2">
        <v>1997</v>
      </c>
      <c r="F3" s="2">
        <v>8</v>
      </c>
      <c r="G3" s="2">
        <v>150</v>
      </c>
    </row>
    <row r="4" spans="1:7" x14ac:dyDescent="0.25">
      <c r="A4" s="2">
        <v>3</v>
      </c>
      <c r="B4" s="2" t="s">
        <v>12</v>
      </c>
      <c r="C4" s="2" t="s">
        <v>13</v>
      </c>
      <c r="D4" s="2" t="s">
        <v>14</v>
      </c>
      <c r="E4" s="2">
        <v>2008</v>
      </c>
      <c r="F4" s="2">
        <v>3</v>
      </c>
      <c r="G4" s="2">
        <v>80</v>
      </c>
    </row>
    <row r="5" spans="1:7" x14ac:dyDescent="0.25">
      <c r="A5" s="2">
        <v>4</v>
      </c>
      <c r="B5" s="2" t="s">
        <v>15</v>
      </c>
      <c r="C5" s="2" t="s">
        <v>16</v>
      </c>
      <c r="D5" s="2" t="s">
        <v>17</v>
      </c>
      <c r="E5" s="2">
        <v>1960</v>
      </c>
      <c r="F5" s="2">
        <v>4</v>
      </c>
      <c r="G5" s="2">
        <v>95</v>
      </c>
    </row>
    <row r="6" spans="1:7" x14ac:dyDescent="0.25">
      <c r="A6" s="2">
        <v>5</v>
      </c>
      <c r="B6" s="2" t="s">
        <v>18</v>
      </c>
      <c r="C6" s="2" t="s">
        <v>19</v>
      </c>
      <c r="D6" s="2" t="s">
        <v>17</v>
      </c>
      <c r="E6" s="2">
        <v>1813</v>
      </c>
      <c r="F6" s="2">
        <v>2</v>
      </c>
      <c r="G6" s="2">
        <v>50</v>
      </c>
    </row>
    <row r="7" spans="1:7" x14ac:dyDescent="0.25">
      <c r="A7" s="2">
        <v>6</v>
      </c>
      <c r="B7" s="2" t="s">
        <v>20</v>
      </c>
      <c r="C7" s="2" t="s">
        <v>21</v>
      </c>
      <c r="D7" s="2" t="s">
        <v>22</v>
      </c>
      <c r="E7" s="2">
        <v>2011</v>
      </c>
      <c r="F7" s="2">
        <v>3</v>
      </c>
      <c r="G7" s="2">
        <v>75</v>
      </c>
    </row>
    <row r="8" spans="1:7" x14ac:dyDescent="0.25">
      <c r="A8" s="2">
        <v>7</v>
      </c>
      <c r="B8" s="3">
        <v>1984</v>
      </c>
      <c r="C8" s="2" t="s">
        <v>23</v>
      </c>
      <c r="D8" s="2" t="s">
        <v>14</v>
      </c>
      <c r="E8" s="2">
        <v>1949</v>
      </c>
      <c r="F8" s="2">
        <v>2</v>
      </c>
      <c r="G8" s="2">
        <v>60</v>
      </c>
    </row>
    <row r="9" spans="1:7" x14ac:dyDescent="0.25">
      <c r="A9" s="2">
        <v>8</v>
      </c>
      <c r="B9" s="2" t="s">
        <v>24</v>
      </c>
      <c r="C9" s="2" t="s">
        <v>23</v>
      </c>
      <c r="D9" s="2" t="s">
        <v>17</v>
      </c>
      <c r="E9" s="2">
        <v>1945</v>
      </c>
      <c r="F9" s="2">
        <v>1</v>
      </c>
      <c r="G9" s="2">
        <v>30</v>
      </c>
    </row>
    <row r="10" spans="1:7" x14ac:dyDescent="0.25">
      <c r="A10" s="2">
        <v>9</v>
      </c>
      <c r="B10" s="2" t="s">
        <v>25</v>
      </c>
      <c r="C10" s="2" t="s">
        <v>26</v>
      </c>
      <c r="D10" s="2" t="s">
        <v>27</v>
      </c>
      <c r="E10" s="2">
        <v>2005</v>
      </c>
      <c r="F10" s="2">
        <v>4</v>
      </c>
      <c r="G10" s="2">
        <v>100</v>
      </c>
    </row>
    <row r="11" spans="1:7" x14ac:dyDescent="0.25">
      <c r="A11" s="2">
        <v>10</v>
      </c>
      <c r="B11" s="2" t="s">
        <v>28</v>
      </c>
      <c r="C11" s="2" t="s">
        <v>29</v>
      </c>
      <c r="D11" s="2" t="s">
        <v>30</v>
      </c>
      <c r="E11" s="2">
        <v>2012</v>
      </c>
      <c r="F11" s="2">
        <v>2</v>
      </c>
      <c r="G11" s="2">
        <v>45</v>
      </c>
    </row>
    <row r="13" spans="1:7" ht="14" x14ac:dyDescent="0.3">
      <c r="A13" s="1" t="s">
        <v>0</v>
      </c>
      <c r="B13" s="1" t="s">
        <v>5</v>
      </c>
    </row>
    <row r="14" spans="1:7" x14ac:dyDescent="0.25">
      <c r="A14" s="2">
        <v>1</v>
      </c>
      <c r="B14">
        <f>_xlfn.XLOOKUP(A14,A1:A11,F1:F11)</f>
        <v>5</v>
      </c>
    </row>
    <row r="15" spans="1:7" x14ac:dyDescent="0.25">
      <c r="A15" s="2">
        <v>2</v>
      </c>
      <c r="B15">
        <f t="shared" ref="B15:B23" si="0">_xlfn.XLOOKUP(A15,A2:A12,F2:F12)</f>
        <v>8</v>
      </c>
    </row>
    <row r="16" spans="1:7" x14ac:dyDescent="0.25">
      <c r="A16" s="2">
        <v>3</v>
      </c>
      <c r="B16">
        <f t="shared" si="0"/>
        <v>3</v>
      </c>
    </row>
    <row r="17" spans="1:2" x14ac:dyDescent="0.25">
      <c r="A17" s="2">
        <v>4</v>
      </c>
      <c r="B17">
        <f t="shared" si="0"/>
        <v>4</v>
      </c>
    </row>
    <row r="18" spans="1:2" x14ac:dyDescent="0.25">
      <c r="A18" s="2">
        <v>5</v>
      </c>
      <c r="B18">
        <f t="shared" si="0"/>
        <v>2</v>
      </c>
    </row>
    <row r="19" spans="1:2" x14ac:dyDescent="0.25">
      <c r="A19" s="2">
        <v>6</v>
      </c>
      <c r="B19">
        <f t="shared" si="0"/>
        <v>3</v>
      </c>
    </row>
    <row r="20" spans="1:2" x14ac:dyDescent="0.25">
      <c r="A20" s="2">
        <v>7</v>
      </c>
      <c r="B20">
        <f t="shared" si="0"/>
        <v>2</v>
      </c>
    </row>
    <row r="21" spans="1:2" x14ac:dyDescent="0.25">
      <c r="A21" s="2">
        <v>8</v>
      </c>
      <c r="B21">
        <f t="shared" si="0"/>
        <v>1</v>
      </c>
    </row>
    <row r="22" spans="1:2" x14ac:dyDescent="0.25">
      <c r="A22" s="2">
        <v>9</v>
      </c>
      <c r="B22">
        <f t="shared" si="0"/>
        <v>4</v>
      </c>
    </row>
    <row r="23" spans="1:2" x14ac:dyDescent="0.25">
      <c r="A23" s="2">
        <v>10</v>
      </c>
      <c r="B23">
        <f t="shared" si="0"/>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9384-E15B-4052-B2BB-B56522443EEF}">
  <dimension ref="A1:G35"/>
  <sheetViews>
    <sheetView topLeftCell="A18" workbookViewId="0">
      <selection activeCell="D35" sqref="D35"/>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 min="9" max="9" width="31.54296875" bestFit="1" customWidth="1"/>
  </cols>
  <sheetData>
    <row r="1" spans="1:7" ht="14" x14ac:dyDescent="0.3">
      <c r="A1" s="1" t="s">
        <v>0</v>
      </c>
      <c r="B1" s="1" t="s">
        <v>1</v>
      </c>
      <c r="C1" s="1" t="s">
        <v>2</v>
      </c>
      <c r="D1" s="1" t="s">
        <v>3</v>
      </c>
      <c r="E1" s="1" t="s">
        <v>4</v>
      </c>
      <c r="F1" s="1" t="s">
        <v>5</v>
      </c>
      <c r="G1" s="1" t="s">
        <v>6</v>
      </c>
    </row>
    <row r="2" spans="1:7" x14ac:dyDescent="0.25">
      <c r="A2" s="2">
        <v>1</v>
      </c>
      <c r="B2" s="2" t="s">
        <v>7</v>
      </c>
      <c r="C2" s="2" t="s">
        <v>8</v>
      </c>
      <c r="D2" s="2" t="s">
        <v>9</v>
      </c>
      <c r="E2" s="2">
        <v>1954</v>
      </c>
      <c r="F2" s="2">
        <v>5</v>
      </c>
      <c r="G2" s="2">
        <v>120</v>
      </c>
    </row>
    <row r="3" spans="1:7" x14ac:dyDescent="0.25">
      <c r="A3" s="2">
        <v>2</v>
      </c>
      <c r="B3" s="2" t="s">
        <v>10</v>
      </c>
      <c r="C3" s="2" t="s">
        <v>11</v>
      </c>
      <c r="D3" s="2" t="s">
        <v>9</v>
      </c>
      <c r="E3" s="2">
        <v>1997</v>
      </c>
      <c r="F3" s="2">
        <v>8</v>
      </c>
      <c r="G3" s="2">
        <v>150</v>
      </c>
    </row>
    <row r="4" spans="1:7" x14ac:dyDescent="0.25">
      <c r="A4" s="2">
        <v>3</v>
      </c>
      <c r="B4" s="2" t="s">
        <v>12</v>
      </c>
      <c r="C4" s="2" t="s">
        <v>13</v>
      </c>
      <c r="D4" s="2" t="s">
        <v>14</v>
      </c>
      <c r="E4" s="2">
        <v>2008</v>
      </c>
      <c r="F4" s="2">
        <v>3</v>
      </c>
      <c r="G4" s="2">
        <v>80</v>
      </c>
    </row>
    <row r="5" spans="1:7" x14ac:dyDescent="0.25">
      <c r="A5" s="2">
        <v>4</v>
      </c>
      <c r="B5" s="2" t="s">
        <v>15</v>
      </c>
      <c r="C5" s="2" t="s">
        <v>16</v>
      </c>
      <c r="D5" s="2" t="s">
        <v>17</v>
      </c>
      <c r="E5" s="2">
        <v>1960</v>
      </c>
      <c r="F5" s="2">
        <v>4</v>
      </c>
      <c r="G5" s="2">
        <v>95</v>
      </c>
    </row>
    <row r="6" spans="1:7" x14ac:dyDescent="0.25">
      <c r="A6" s="2">
        <v>5</v>
      </c>
      <c r="B6" s="2" t="s">
        <v>18</v>
      </c>
      <c r="C6" s="2" t="s">
        <v>19</v>
      </c>
      <c r="D6" s="2" t="s">
        <v>17</v>
      </c>
      <c r="E6" s="2">
        <v>1813</v>
      </c>
      <c r="F6" s="2">
        <v>2</v>
      </c>
      <c r="G6" s="2">
        <v>50</v>
      </c>
    </row>
    <row r="7" spans="1:7" x14ac:dyDescent="0.25">
      <c r="A7" s="2">
        <v>6</v>
      </c>
      <c r="B7" s="2" t="s">
        <v>20</v>
      </c>
      <c r="C7" s="2" t="s">
        <v>21</v>
      </c>
      <c r="D7" s="2" t="s">
        <v>22</v>
      </c>
      <c r="E7" s="2">
        <v>2011</v>
      </c>
      <c r="F7" s="2">
        <v>3</v>
      </c>
      <c r="G7" s="2">
        <v>75</v>
      </c>
    </row>
    <row r="8" spans="1:7" x14ac:dyDescent="0.25">
      <c r="A8" s="2">
        <v>7</v>
      </c>
      <c r="B8" s="3">
        <v>1984</v>
      </c>
      <c r="C8" s="2" t="s">
        <v>23</v>
      </c>
      <c r="D8" s="2" t="s">
        <v>14</v>
      </c>
      <c r="E8" s="2">
        <v>1949</v>
      </c>
      <c r="F8" s="2">
        <v>2</v>
      </c>
      <c r="G8" s="2">
        <v>60</v>
      </c>
    </row>
    <row r="9" spans="1:7" x14ac:dyDescent="0.25">
      <c r="A9" s="2">
        <v>8</v>
      </c>
      <c r="B9" s="2" t="s">
        <v>24</v>
      </c>
      <c r="C9" s="2" t="s">
        <v>23</v>
      </c>
      <c r="D9" s="2" t="s">
        <v>17</v>
      </c>
      <c r="E9" s="2">
        <v>1945</v>
      </c>
      <c r="F9" s="2">
        <v>1</v>
      </c>
      <c r="G9" s="2">
        <v>30</v>
      </c>
    </row>
    <row r="10" spans="1:7" x14ac:dyDescent="0.25">
      <c r="A10" s="2">
        <v>9</v>
      </c>
      <c r="B10" s="2" t="s">
        <v>25</v>
      </c>
      <c r="C10" s="2" t="s">
        <v>26</v>
      </c>
      <c r="D10" s="2" t="s">
        <v>27</v>
      </c>
      <c r="E10" s="2">
        <v>2005</v>
      </c>
      <c r="F10" s="2">
        <v>4</v>
      </c>
      <c r="G10" s="2">
        <v>100</v>
      </c>
    </row>
    <row r="11" spans="1:7" x14ac:dyDescent="0.25">
      <c r="A11" s="2">
        <v>10</v>
      </c>
      <c r="B11" s="2" t="s">
        <v>28</v>
      </c>
      <c r="C11" s="2" t="s">
        <v>29</v>
      </c>
      <c r="D11" s="2" t="s">
        <v>30</v>
      </c>
      <c r="E11" s="2">
        <v>2012</v>
      </c>
      <c r="F11" s="2">
        <v>2</v>
      </c>
      <c r="G11" s="2">
        <v>45</v>
      </c>
    </row>
    <row r="13" spans="1:7" ht="14" x14ac:dyDescent="0.3">
      <c r="B13" s="1" t="s">
        <v>1</v>
      </c>
      <c r="C13" s="1" t="s">
        <v>3</v>
      </c>
      <c r="E13" s="2" t="s">
        <v>20</v>
      </c>
      <c r="F13" t="str">
        <f>INDEX(D2:D11,6)</f>
        <v>Sci-Fi</v>
      </c>
    </row>
    <row r="14" spans="1:7" x14ac:dyDescent="0.25">
      <c r="B14" s="2" t="s">
        <v>7</v>
      </c>
      <c r="C14" t="str">
        <f>INDEX(D2:D11,1)</f>
        <v>Fantasy</v>
      </c>
      <c r="E14" s="2" t="s">
        <v>25</v>
      </c>
      <c r="F14" t="str">
        <f>INDEX(D1:D11,9)</f>
        <v>Classic</v>
      </c>
    </row>
    <row r="15" spans="1:7" x14ac:dyDescent="0.25">
      <c r="B15" s="2" t="s">
        <v>10</v>
      </c>
      <c r="C15" t="str">
        <f t="shared" ref="C15:C23" si="0">INDEX(D3:D12,1)</f>
        <v>Fantasy</v>
      </c>
    </row>
    <row r="16" spans="1:7" x14ac:dyDescent="0.25">
      <c r="B16" s="2" t="s">
        <v>12</v>
      </c>
      <c r="C16" t="str">
        <f t="shared" si="0"/>
        <v>Dystopian</v>
      </c>
    </row>
    <row r="17" spans="2:3" x14ac:dyDescent="0.25">
      <c r="B17" s="2" t="s">
        <v>15</v>
      </c>
      <c r="C17" t="str">
        <f t="shared" si="0"/>
        <v>Classic</v>
      </c>
    </row>
    <row r="18" spans="2:3" x14ac:dyDescent="0.25">
      <c r="B18" s="2" t="s">
        <v>18</v>
      </c>
      <c r="C18" t="str">
        <f t="shared" si="0"/>
        <v>Classic</v>
      </c>
    </row>
    <row r="19" spans="2:3" x14ac:dyDescent="0.25">
      <c r="B19" s="2" t="s">
        <v>20</v>
      </c>
      <c r="C19" t="str">
        <f t="shared" si="0"/>
        <v>Sci-Fi</v>
      </c>
    </row>
    <row r="20" spans="2:3" x14ac:dyDescent="0.25">
      <c r="B20" s="3">
        <v>1984</v>
      </c>
      <c r="C20" t="str">
        <f t="shared" si="0"/>
        <v>Dystopian</v>
      </c>
    </row>
    <row r="21" spans="2:3" x14ac:dyDescent="0.25">
      <c r="B21" s="2" t="s">
        <v>24</v>
      </c>
      <c r="C21" t="str">
        <f t="shared" si="0"/>
        <v>Classic</v>
      </c>
    </row>
    <row r="22" spans="2:3" x14ac:dyDescent="0.25">
      <c r="B22" s="2" t="s">
        <v>25</v>
      </c>
      <c r="C22" t="str">
        <f t="shared" si="0"/>
        <v>Historical Fiction</v>
      </c>
    </row>
    <row r="23" spans="2:3" x14ac:dyDescent="0.25">
      <c r="B23" s="2" t="s">
        <v>28</v>
      </c>
      <c r="C23" t="str">
        <f t="shared" si="0"/>
        <v>Romance</v>
      </c>
    </row>
    <row r="25" spans="2:3" ht="14" x14ac:dyDescent="0.3">
      <c r="B25" s="1" t="s">
        <v>1</v>
      </c>
      <c r="C25" s="1" t="s">
        <v>3</v>
      </c>
    </row>
    <row r="26" spans="2:3" x14ac:dyDescent="0.25">
      <c r="B26" s="2" t="s">
        <v>7</v>
      </c>
      <c r="C26" t="str">
        <f>INDEX($D$2:$D$11,MATCH(B26,$B$2:$B$11,0))</f>
        <v>Fantasy</v>
      </c>
    </row>
    <row r="27" spans="2:3" x14ac:dyDescent="0.25">
      <c r="B27" s="2" t="s">
        <v>10</v>
      </c>
      <c r="C27" t="str">
        <f t="shared" ref="C27:C35" si="1">INDEX($D$2:$D$11,MATCH(B27,$B$2:$B$11,0))</f>
        <v>Fantasy</v>
      </c>
    </row>
    <row r="28" spans="2:3" x14ac:dyDescent="0.25">
      <c r="B28" s="2" t="s">
        <v>12</v>
      </c>
      <c r="C28" t="str">
        <f t="shared" si="1"/>
        <v>Dystopian</v>
      </c>
    </row>
    <row r="29" spans="2:3" x14ac:dyDescent="0.25">
      <c r="B29" s="2" t="s">
        <v>15</v>
      </c>
      <c r="C29" t="str">
        <f t="shared" si="1"/>
        <v>Classic</v>
      </c>
    </row>
    <row r="30" spans="2:3" x14ac:dyDescent="0.25">
      <c r="B30" s="2" t="s">
        <v>18</v>
      </c>
      <c r="C30" t="str">
        <f t="shared" si="1"/>
        <v>Classic</v>
      </c>
    </row>
    <row r="31" spans="2:3" x14ac:dyDescent="0.25">
      <c r="B31" s="2" t="s">
        <v>20</v>
      </c>
      <c r="C31" t="str">
        <f t="shared" si="1"/>
        <v>Sci-Fi</v>
      </c>
    </row>
    <row r="32" spans="2:3" x14ac:dyDescent="0.25">
      <c r="B32" s="3">
        <v>1984</v>
      </c>
      <c r="C32" t="str">
        <f t="shared" si="1"/>
        <v>Dystopian</v>
      </c>
    </row>
    <row r="33" spans="2:3" x14ac:dyDescent="0.25">
      <c r="B33" s="2" t="s">
        <v>24</v>
      </c>
      <c r="C33" t="str">
        <f t="shared" si="1"/>
        <v>Classic</v>
      </c>
    </row>
    <row r="34" spans="2:3" x14ac:dyDescent="0.25">
      <c r="B34" s="2" t="s">
        <v>25</v>
      </c>
      <c r="C34" t="str">
        <f t="shared" si="1"/>
        <v>Historical Fiction</v>
      </c>
    </row>
    <row r="35" spans="2:3" x14ac:dyDescent="0.25">
      <c r="B35" s="2" t="s">
        <v>28</v>
      </c>
      <c r="C35" t="str">
        <f t="shared" si="1"/>
        <v>Romance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04D19-5B89-4965-81B1-9BE642FAE05E}">
  <dimension ref="A1:H11"/>
  <sheetViews>
    <sheetView workbookViewId="0">
      <selection sqref="A1:H11"/>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 min="8" max="8" width="11.26953125" bestFit="1" customWidth="1"/>
  </cols>
  <sheetData>
    <row r="1" spans="1:8" ht="14" x14ac:dyDescent="0.3">
      <c r="A1" s="1" t="s">
        <v>0</v>
      </c>
      <c r="B1" s="1" t="s">
        <v>1</v>
      </c>
      <c r="C1" s="1" t="s">
        <v>2</v>
      </c>
      <c r="D1" s="1" t="s">
        <v>3</v>
      </c>
      <c r="E1" s="1" t="s">
        <v>4</v>
      </c>
      <c r="F1" s="1" t="s">
        <v>5</v>
      </c>
      <c r="G1" s="1" t="s">
        <v>6</v>
      </c>
      <c r="H1" s="8" t="s">
        <v>38</v>
      </c>
    </row>
    <row r="2" spans="1:8" x14ac:dyDescent="0.25">
      <c r="A2" s="2">
        <v>1</v>
      </c>
      <c r="B2" s="2" t="s">
        <v>7</v>
      </c>
      <c r="C2" s="2" t="s">
        <v>8</v>
      </c>
      <c r="D2" s="2" t="s">
        <v>9</v>
      </c>
      <c r="E2" s="2">
        <v>1954</v>
      </c>
      <c r="F2" s="2">
        <v>5</v>
      </c>
      <c r="G2" s="2">
        <v>120</v>
      </c>
      <c r="H2" s="4" t="str">
        <f>IF(G2&gt;=100,"Popular",IF(G2&gt;=50,"Moderate","Less Popular"))</f>
        <v>Popular</v>
      </c>
    </row>
    <row r="3" spans="1:8" x14ac:dyDescent="0.25">
      <c r="A3" s="2">
        <v>2</v>
      </c>
      <c r="B3" s="2" t="s">
        <v>10</v>
      </c>
      <c r="C3" s="2" t="s">
        <v>11</v>
      </c>
      <c r="D3" s="2" t="s">
        <v>9</v>
      </c>
      <c r="E3" s="2">
        <v>1997</v>
      </c>
      <c r="F3" s="2">
        <v>8</v>
      </c>
      <c r="G3" s="2">
        <v>150</v>
      </c>
      <c r="H3" s="4" t="str">
        <f t="shared" ref="H3:H11" si="0">IF(G3&gt;=100,"Popular",IF(G3&gt;=50,"Moderate","Less Popular"))</f>
        <v>Popular</v>
      </c>
    </row>
    <row r="4" spans="1:8" x14ac:dyDescent="0.25">
      <c r="A4" s="2">
        <v>3</v>
      </c>
      <c r="B4" s="2" t="s">
        <v>12</v>
      </c>
      <c r="C4" s="2" t="s">
        <v>13</v>
      </c>
      <c r="D4" s="2" t="s">
        <v>14</v>
      </c>
      <c r="E4" s="2">
        <v>2008</v>
      </c>
      <c r="F4" s="2">
        <v>3</v>
      </c>
      <c r="G4" s="2">
        <v>80</v>
      </c>
      <c r="H4" s="4" t="str">
        <f t="shared" si="0"/>
        <v>Moderate</v>
      </c>
    </row>
    <row r="5" spans="1:8" x14ac:dyDescent="0.25">
      <c r="A5" s="2">
        <v>4</v>
      </c>
      <c r="B5" s="2" t="s">
        <v>15</v>
      </c>
      <c r="C5" s="2" t="s">
        <v>16</v>
      </c>
      <c r="D5" s="2" t="s">
        <v>17</v>
      </c>
      <c r="E5" s="2">
        <v>1960</v>
      </c>
      <c r="F5" s="2">
        <v>4</v>
      </c>
      <c r="G5" s="2">
        <v>95</v>
      </c>
      <c r="H5" s="4" t="str">
        <f t="shared" si="0"/>
        <v>Moderate</v>
      </c>
    </row>
    <row r="6" spans="1:8" x14ac:dyDescent="0.25">
      <c r="A6" s="2">
        <v>5</v>
      </c>
      <c r="B6" s="2" t="s">
        <v>18</v>
      </c>
      <c r="C6" s="2" t="s">
        <v>19</v>
      </c>
      <c r="D6" s="2" t="s">
        <v>17</v>
      </c>
      <c r="E6" s="2">
        <v>1813</v>
      </c>
      <c r="F6" s="2">
        <v>2</v>
      </c>
      <c r="G6" s="2">
        <v>50</v>
      </c>
      <c r="H6" s="4" t="str">
        <f t="shared" si="0"/>
        <v>Moderate</v>
      </c>
    </row>
    <row r="7" spans="1:8" x14ac:dyDescent="0.25">
      <c r="A7" s="2">
        <v>6</v>
      </c>
      <c r="B7" s="2" t="s">
        <v>20</v>
      </c>
      <c r="C7" s="2" t="s">
        <v>21</v>
      </c>
      <c r="D7" s="2" t="s">
        <v>22</v>
      </c>
      <c r="E7" s="2">
        <v>2011</v>
      </c>
      <c r="F7" s="2">
        <v>3</v>
      </c>
      <c r="G7" s="2">
        <v>75</v>
      </c>
      <c r="H7" s="4" t="str">
        <f t="shared" si="0"/>
        <v>Moderate</v>
      </c>
    </row>
    <row r="8" spans="1:8" x14ac:dyDescent="0.25">
      <c r="A8" s="2">
        <v>7</v>
      </c>
      <c r="B8" s="3">
        <v>1984</v>
      </c>
      <c r="C8" s="2" t="s">
        <v>23</v>
      </c>
      <c r="D8" s="2" t="s">
        <v>14</v>
      </c>
      <c r="E8" s="2">
        <v>1949</v>
      </c>
      <c r="F8" s="2">
        <v>2</v>
      </c>
      <c r="G8" s="2">
        <v>60</v>
      </c>
      <c r="H8" s="4" t="str">
        <f t="shared" si="0"/>
        <v>Moderate</v>
      </c>
    </row>
    <row r="9" spans="1:8" x14ac:dyDescent="0.25">
      <c r="A9" s="2">
        <v>8</v>
      </c>
      <c r="B9" s="2" t="s">
        <v>24</v>
      </c>
      <c r="C9" s="2" t="s">
        <v>23</v>
      </c>
      <c r="D9" s="2" t="s">
        <v>17</v>
      </c>
      <c r="E9" s="2">
        <v>1945</v>
      </c>
      <c r="F9" s="2">
        <v>1</v>
      </c>
      <c r="G9" s="2">
        <v>30</v>
      </c>
      <c r="H9" s="4" t="str">
        <f t="shared" si="0"/>
        <v>Less Popular</v>
      </c>
    </row>
    <row r="10" spans="1:8" x14ac:dyDescent="0.25">
      <c r="A10" s="2">
        <v>9</v>
      </c>
      <c r="B10" s="2" t="s">
        <v>25</v>
      </c>
      <c r="C10" s="2" t="s">
        <v>26</v>
      </c>
      <c r="D10" s="2" t="s">
        <v>27</v>
      </c>
      <c r="E10" s="2">
        <v>2005</v>
      </c>
      <c r="F10" s="2">
        <v>4</v>
      </c>
      <c r="G10" s="2">
        <v>100</v>
      </c>
      <c r="H10" s="4" t="str">
        <f t="shared" si="0"/>
        <v>Popular</v>
      </c>
    </row>
    <row r="11" spans="1:8" x14ac:dyDescent="0.25">
      <c r="A11" s="2">
        <v>10</v>
      </c>
      <c r="B11" s="2" t="s">
        <v>28</v>
      </c>
      <c r="C11" s="2" t="s">
        <v>29</v>
      </c>
      <c r="D11" s="2" t="s">
        <v>30</v>
      </c>
      <c r="E11" s="2">
        <v>2012</v>
      </c>
      <c r="F11" s="2">
        <v>2</v>
      </c>
      <c r="G11" s="2">
        <v>45</v>
      </c>
      <c r="H11" s="4" t="str">
        <f t="shared" si="0"/>
        <v>Less Popular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EB15-426F-49BA-AE59-F2B18C9D0688}">
  <dimension ref="A1:H11"/>
  <sheetViews>
    <sheetView workbookViewId="0">
      <selection activeCell="E17" sqref="E17"/>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s>
  <sheetData>
    <row r="1" spans="1:8" ht="14" x14ac:dyDescent="0.3">
      <c r="A1" s="1" t="s">
        <v>0</v>
      </c>
      <c r="B1" s="1" t="s">
        <v>1</v>
      </c>
      <c r="C1" s="1" t="s">
        <v>2</v>
      </c>
      <c r="D1" s="1" t="s">
        <v>3</v>
      </c>
      <c r="E1" s="1" t="s">
        <v>4</v>
      </c>
      <c r="F1" s="1" t="s">
        <v>5</v>
      </c>
      <c r="G1" s="1" t="s">
        <v>6</v>
      </c>
    </row>
    <row r="2" spans="1:8" x14ac:dyDescent="0.25">
      <c r="A2" s="2">
        <v>1</v>
      </c>
      <c r="B2" s="2" t="s">
        <v>7</v>
      </c>
      <c r="C2" s="2" t="s">
        <v>8</v>
      </c>
      <c r="D2" s="2" t="s">
        <v>9</v>
      </c>
      <c r="E2" s="2">
        <v>1954</v>
      </c>
      <c r="F2" s="2">
        <v>5</v>
      </c>
      <c r="G2" s="2">
        <v>120</v>
      </c>
      <c r="H2" t="str">
        <f>IF(AND(E2&gt;2000,D2="Fantasy"),"Yes","No")</f>
        <v>No</v>
      </c>
    </row>
    <row r="3" spans="1:8" x14ac:dyDescent="0.25">
      <c r="A3" s="2">
        <v>2</v>
      </c>
      <c r="B3" s="2" t="s">
        <v>10</v>
      </c>
      <c r="C3" s="2" t="s">
        <v>11</v>
      </c>
      <c r="D3" s="2" t="s">
        <v>9</v>
      </c>
      <c r="E3" s="2">
        <v>1997</v>
      </c>
      <c r="F3" s="2">
        <v>8</v>
      </c>
      <c r="G3" s="2">
        <v>150</v>
      </c>
      <c r="H3" t="str">
        <f t="shared" ref="H3:H11" si="0">IF(AND(E3&gt;2000,D3="Fantasy"),"Yes","No")</f>
        <v>No</v>
      </c>
    </row>
    <row r="4" spans="1:8" x14ac:dyDescent="0.25">
      <c r="A4" s="2">
        <v>3</v>
      </c>
      <c r="B4" s="2" t="s">
        <v>12</v>
      </c>
      <c r="C4" s="2" t="s">
        <v>13</v>
      </c>
      <c r="D4" s="2" t="s">
        <v>14</v>
      </c>
      <c r="E4" s="2">
        <v>2008</v>
      </c>
      <c r="F4" s="2">
        <v>3</v>
      </c>
      <c r="G4" s="2">
        <v>80</v>
      </c>
      <c r="H4" t="str">
        <f t="shared" si="0"/>
        <v>No</v>
      </c>
    </row>
    <row r="5" spans="1:8" x14ac:dyDescent="0.25">
      <c r="A5" s="2">
        <v>4</v>
      </c>
      <c r="B5" s="2" t="s">
        <v>15</v>
      </c>
      <c r="C5" s="2" t="s">
        <v>16</v>
      </c>
      <c r="D5" s="2" t="s">
        <v>17</v>
      </c>
      <c r="E5" s="2">
        <v>1960</v>
      </c>
      <c r="F5" s="2">
        <v>4</v>
      </c>
      <c r="G5" s="2">
        <v>95</v>
      </c>
      <c r="H5" t="str">
        <f t="shared" si="0"/>
        <v>No</v>
      </c>
    </row>
    <row r="6" spans="1:8" x14ac:dyDescent="0.25">
      <c r="A6" s="2">
        <v>5</v>
      </c>
      <c r="B6" s="2" t="s">
        <v>18</v>
      </c>
      <c r="C6" s="2" t="s">
        <v>19</v>
      </c>
      <c r="D6" s="2" t="s">
        <v>17</v>
      </c>
      <c r="E6" s="2">
        <v>1813</v>
      </c>
      <c r="F6" s="2">
        <v>2</v>
      </c>
      <c r="G6" s="2">
        <v>50</v>
      </c>
      <c r="H6" t="str">
        <f t="shared" si="0"/>
        <v>No</v>
      </c>
    </row>
    <row r="7" spans="1:8" x14ac:dyDescent="0.25">
      <c r="A7" s="2">
        <v>6</v>
      </c>
      <c r="B7" s="2" t="s">
        <v>20</v>
      </c>
      <c r="C7" s="2" t="s">
        <v>21</v>
      </c>
      <c r="D7" s="2" t="s">
        <v>22</v>
      </c>
      <c r="E7" s="2">
        <v>2011</v>
      </c>
      <c r="F7" s="2">
        <v>3</v>
      </c>
      <c r="G7" s="2">
        <v>75</v>
      </c>
      <c r="H7" t="str">
        <f t="shared" si="0"/>
        <v>No</v>
      </c>
    </row>
    <row r="8" spans="1:8" x14ac:dyDescent="0.25">
      <c r="A8" s="2">
        <v>7</v>
      </c>
      <c r="B8" s="3">
        <v>1984</v>
      </c>
      <c r="C8" s="2" t="s">
        <v>23</v>
      </c>
      <c r="D8" s="2" t="s">
        <v>14</v>
      </c>
      <c r="E8" s="2">
        <v>1949</v>
      </c>
      <c r="F8" s="2">
        <v>2</v>
      </c>
      <c r="G8" s="2">
        <v>60</v>
      </c>
      <c r="H8" t="str">
        <f t="shared" si="0"/>
        <v>No</v>
      </c>
    </row>
    <row r="9" spans="1:8" x14ac:dyDescent="0.25">
      <c r="A9" s="2">
        <v>8</v>
      </c>
      <c r="B9" s="2" t="s">
        <v>24</v>
      </c>
      <c r="C9" s="2" t="s">
        <v>23</v>
      </c>
      <c r="D9" s="2" t="s">
        <v>17</v>
      </c>
      <c r="E9" s="2">
        <v>1945</v>
      </c>
      <c r="F9" s="2">
        <v>1</v>
      </c>
      <c r="G9" s="2">
        <v>30</v>
      </c>
      <c r="H9" t="str">
        <f t="shared" si="0"/>
        <v>No</v>
      </c>
    </row>
    <row r="10" spans="1:8" x14ac:dyDescent="0.25">
      <c r="A10" s="2">
        <v>9</v>
      </c>
      <c r="B10" s="2" t="s">
        <v>25</v>
      </c>
      <c r="C10" s="2" t="s">
        <v>26</v>
      </c>
      <c r="D10" s="2" t="s">
        <v>27</v>
      </c>
      <c r="E10" s="2">
        <v>2005</v>
      </c>
      <c r="F10" s="2">
        <v>4</v>
      </c>
      <c r="G10" s="2">
        <v>100</v>
      </c>
      <c r="H10" t="str">
        <f t="shared" si="0"/>
        <v>No</v>
      </c>
    </row>
    <row r="11" spans="1:8" x14ac:dyDescent="0.25">
      <c r="A11" s="2">
        <v>10</v>
      </c>
      <c r="B11" s="2" t="s">
        <v>28</v>
      </c>
      <c r="C11" s="2" t="s">
        <v>29</v>
      </c>
      <c r="D11" s="2" t="s">
        <v>30</v>
      </c>
      <c r="E11" s="2">
        <v>2012</v>
      </c>
      <c r="F11" s="2">
        <v>2</v>
      </c>
      <c r="G11" s="2">
        <v>45</v>
      </c>
      <c r="H11" t="str">
        <f t="shared" si="0"/>
        <v>No</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98FD-435B-4E11-9A2A-A62FE677A97B}">
  <dimension ref="A1:H11"/>
  <sheetViews>
    <sheetView workbookViewId="0">
      <selection activeCell="H2" sqref="H2:H11"/>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s>
  <sheetData>
    <row r="1" spans="1:8" ht="14" x14ac:dyDescent="0.3">
      <c r="A1" s="1" t="s">
        <v>0</v>
      </c>
      <c r="B1" s="1" t="s">
        <v>1</v>
      </c>
      <c r="C1" s="1" t="s">
        <v>2</v>
      </c>
      <c r="D1" s="1" t="s">
        <v>3</v>
      </c>
      <c r="E1" s="1" t="s">
        <v>4</v>
      </c>
      <c r="F1" s="1" t="s">
        <v>5</v>
      </c>
      <c r="G1" s="1" t="s">
        <v>6</v>
      </c>
    </row>
    <row r="2" spans="1:8" x14ac:dyDescent="0.25">
      <c r="A2" s="2">
        <v>1</v>
      </c>
      <c r="B2" s="2" t="s">
        <v>7</v>
      </c>
      <c r="C2" s="2" t="s">
        <v>8</v>
      </c>
      <c r="D2" s="2" t="s">
        <v>9</v>
      </c>
      <c r="E2" s="2">
        <v>1954</v>
      </c>
      <c r="F2" s="2">
        <v>5</v>
      </c>
      <c r="G2" s="2">
        <v>120</v>
      </c>
      <c r="H2" t="str">
        <f>LEFT(B2,FIND(" ",B2)-1)</f>
        <v>The</v>
      </c>
    </row>
    <row r="3" spans="1:8" x14ac:dyDescent="0.25">
      <c r="A3" s="2">
        <v>2</v>
      </c>
      <c r="B3" s="2" t="s">
        <v>10</v>
      </c>
      <c r="C3" s="2" t="s">
        <v>11</v>
      </c>
      <c r="D3" s="2" t="s">
        <v>9</v>
      </c>
      <c r="E3" s="2">
        <v>1997</v>
      </c>
      <c r="F3" s="2">
        <v>8</v>
      </c>
      <c r="G3" s="2">
        <v>150</v>
      </c>
      <c r="H3" t="str">
        <f t="shared" ref="H3:H11" si="0">LEFT(B3,FIND(" ",B3)-1)</f>
        <v>Harry</v>
      </c>
    </row>
    <row r="4" spans="1:8" x14ac:dyDescent="0.25">
      <c r="A4" s="2">
        <v>3</v>
      </c>
      <c r="B4" s="2" t="s">
        <v>12</v>
      </c>
      <c r="C4" s="2" t="s">
        <v>13</v>
      </c>
      <c r="D4" s="2" t="s">
        <v>14</v>
      </c>
      <c r="E4" s="2">
        <v>2008</v>
      </c>
      <c r="F4" s="2">
        <v>3</v>
      </c>
      <c r="G4" s="2">
        <v>80</v>
      </c>
      <c r="H4" t="str">
        <f t="shared" si="0"/>
        <v>The</v>
      </c>
    </row>
    <row r="5" spans="1:8" x14ac:dyDescent="0.25">
      <c r="A5" s="2">
        <v>4</v>
      </c>
      <c r="B5" s="2" t="s">
        <v>15</v>
      </c>
      <c r="C5" s="2" t="s">
        <v>16</v>
      </c>
      <c r="D5" s="2" t="s">
        <v>17</v>
      </c>
      <c r="E5" s="2">
        <v>1960</v>
      </c>
      <c r="F5" s="2">
        <v>4</v>
      </c>
      <c r="G5" s="2">
        <v>95</v>
      </c>
      <c r="H5" t="str">
        <f t="shared" si="0"/>
        <v>To</v>
      </c>
    </row>
    <row r="6" spans="1:8" x14ac:dyDescent="0.25">
      <c r="A6" s="2">
        <v>5</v>
      </c>
      <c r="B6" s="2" t="s">
        <v>18</v>
      </c>
      <c r="C6" s="2" t="s">
        <v>19</v>
      </c>
      <c r="D6" s="2" t="s">
        <v>17</v>
      </c>
      <c r="E6" s="2">
        <v>1813</v>
      </c>
      <c r="F6" s="2">
        <v>2</v>
      </c>
      <c r="G6" s="2">
        <v>50</v>
      </c>
      <c r="H6" t="str">
        <f t="shared" si="0"/>
        <v>Pride</v>
      </c>
    </row>
    <row r="7" spans="1:8" x14ac:dyDescent="0.25">
      <c r="A7" s="2">
        <v>6</v>
      </c>
      <c r="B7" s="2" t="s">
        <v>20</v>
      </c>
      <c r="C7" s="2" t="s">
        <v>21</v>
      </c>
      <c r="D7" s="2" t="s">
        <v>22</v>
      </c>
      <c r="E7" s="2">
        <v>2011</v>
      </c>
      <c r="F7" s="2">
        <v>3</v>
      </c>
      <c r="G7" s="2">
        <v>75</v>
      </c>
      <c r="H7" t="str">
        <f t="shared" si="0"/>
        <v>The</v>
      </c>
    </row>
    <row r="8" spans="1:8" x14ac:dyDescent="0.25">
      <c r="A8" s="2">
        <v>7</v>
      </c>
      <c r="B8" s="3">
        <v>1984</v>
      </c>
      <c r="C8" s="2" t="s">
        <v>23</v>
      </c>
      <c r="D8" s="2" t="s">
        <v>14</v>
      </c>
      <c r="E8" s="2">
        <v>1949</v>
      </c>
      <c r="F8" s="2">
        <v>2</v>
      </c>
      <c r="G8" s="2">
        <v>60</v>
      </c>
      <c r="H8" t="e">
        <f t="shared" si="0"/>
        <v>#VALUE!</v>
      </c>
    </row>
    <row r="9" spans="1:8" x14ac:dyDescent="0.25">
      <c r="A9" s="2">
        <v>8</v>
      </c>
      <c r="B9" s="2" t="s">
        <v>24</v>
      </c>
      <c r="C9" s="2" t="s">
        <v>23</v>
      </c>
      <c r="D9" s="2" t="s">
        <v>17</v>
      </c>
      <c r="E9" s="2">
        <v>1945</v>
      </c>
      <c r="F9" s="2">
        <v>1</v>
      </c>
      <c r="G9" s="2">
        <v>30</v>
      </c>
      <c r="H9" t="str">
        <f t="shared" si="0"/>
        <v>Animal</v>
      </c>
    </row>
    <row r="10" spans="1:8" x14ac:dyDescent="0.25">
      <c r="A10" s="2">
        <v>9</v>
      </c>
      <c r="B10" s="2" t="s">
        <v>25</v>
      </c>
      <c r="C10" s="2" t="s">
        <v>26</v>
      </c>
      <c r="D10" s="2" t="s">
        <v>27</v>
      </c>
      <c r="E10" s="2">
        <v>2005</v>
      </c>
      <c r="F10" s="2">
        <v>4</v>
      </c>
      <c r="G10" s="2">
        <v>100</v>
      </c>
      <c r="H10" t="str">
        <f t="shared" si="0"/>
        <v>The</v>
      </c>
    </row>
    <row r="11" spans="1:8" x14ac:dyDescent="0.25">
      <c r="A11" s="2">
        <v>10</v>
      </c>
      <c r="B11" s="2" t="s">
        <v>28</v>
      </c>
      <c r="C11" s="2" t="s">
        <v>29</v>
      </c>
      <c r="D11" s="2" t="s">
        <v>30</v>
      </c>
      <c r="E11" s="2">
        <v>2012</v>
      </c>
      <c r="F11" s="2">
        <v>2</v>
      </c>
      <c r="G11" s="2">
        <v>45</v>
      </c>
      <c r="H11" t="str">
        <f t="shared" si="0"/>
        <v>The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5B4E-78B2-4574-8DAA-E57A943B4860}">
  <dimension ref="A1:H11"/>
  <sheetViews>
    <sheetView workbookViewId="0">
      <selection activeCell="G21" sqref="G21"/>
    </sheetView>
  </sheetViews>
  <sheetFormatPr defaultRowHeight="12.5" x14ac:dyDescent="0.25"/>
  <cols>
    <col min="1" max="1" width="8.1796875" bestFit="1" customWidth="1"/>
    <col min="2" max="2" width="31.54296875" bestFit="1" customWidth="1"/>
    <col min="3" max="3" width="13.36328125" bestFit="1" customWidth="1"/>
    <col min="4" max="4" width="13.90625" bestFit="1" customWidth="1"/>
    <col min="5" max="5" width="16" bestFit="1" customWidth="1"/>
    <col min="6" max="6" width="16.26953125" bestFit="1" customWidth="1"/>
    <col min="7" max="7" width="16.453125" bestFit="1" customWidth="1"/>
  </cols>
  <sheetData>
    <row r="1" spans="1:8" ht="14" x14ac:dyDescent="0.3">
      <c r="A1" s="1" t="s">
        <v>0</v>
      </c>
      <c r="B1" s="1" t="s">
        <v>1</v>
      </c>
      <c r="C1" s="1" t="s">
        <v>2</v>
      </c>
      <c r="D1" s="1" t="s">
        <v>3</v>
      </c>
      <c r="E1" s="1" t="s">
        <v>4</v>
      </c>
      <c r="F1" s="1" t="s">
        <v>5</v>
      </c>
      <c r="G1" s="1" t="s">
        <v>6</v>
      </c>
    </row>
    <row r="2" spans="1:8" x14ac:dyDescent="0.25">
      <c r="A2" s="2">
        <v>1</v>
      </c>
      <c r="B2" s="2" t="s">
        <v>7</v>
      </c>
      <c r="C2" s="2" t="s">
        <v>8</v>
      </c>
      <c r="D2" s="2" t="s">
        <v>9</v>
      </c>
      <c r="E2" s="2">
        <v>1954</v>
      </c>
      <c r="F2" s="2">
        <v>5</v>
      </c>
      <c r="G2" s="2">
        <v>120</v>
      </c>
      <c r="H2" t="str">
        <f>CONCATENATE("J.","","Tolkien")</f>
        <v>J.Tolkien</v>
      </c>
    </row>
    <row r="3" spans="1:8" x14ac:dyDescent="0.25">
      <c r="A3" s="2">
        <v>2</v>
      </c>
      <c r="B3" s="2" t="s">
        <v>10</v>
      </c>
      <c r="C3" s="2" t="s">
        <v>11</v>
      </c>
      <c r="D3" s="2" t="s">
        <v>9</v>
      </c>
      <c r="E3" s="2">
        <v>1997</v>
      </c>
      <c r="F3" s="2">
        <v>8</v>
      </c>
      <c r="G3" s="2">
        <v>150</v>
      </c>
    </row>
    <row r="4" spans="1:8" x14ac:dyDescent="0.25">
      <c r="A4" s="2">
        <v>3</v>
      </c>
      <c r="B4" s="2" t="s">
        <v>12</v>
      </c>
      <c r="C4" s="2" t="s">
        <v>13</v>
      </c>
      <c r="D4" s="2" t="s">
        <v>14</v>
      </c>
      <c r="E4" s="2">
        <v>2008</v>
      </c>
      <c r="F4" s="2">
        <v>3</v>
      </c>
      <c r="G4" s="2">
        <v>80</v>
      </c>
    </row>
    <row r="5" spans="1:8" x14ac:dyDescent="0.25">
      <c r="A5" s="2">
        <v>4</v>
      </c>
      <c r="B5" s="2" t="s">
        <v>15</v>
      </c>
      <c r="C5" s="2" t="s">
        <v>16</v>
      </c>
      <c r="D5" s="2" t="s">
        <v>17</v>
      </c>
      <c r="E5" s="2">
        <v>1960</v>
      </c>
      <c r="F5" s="2">
        <v>4</v>
      </c>
      <c r="G5" s="2">
        <v>95</v>
      </c>
    </row>
    <row r="6" spans="1:8" x14ac:dyDescent="0.25">
      <c r="A6" s="2">
        <v>5</v>
      </c>
      <c r="B6" s="2" t="s">
        <v>18</v>
      </c>
      <c r="C6" s="2" t="s">
        <v>19</v>
      </c>
      <c r="D6" s="2" t="s">
        <v>17</v>
      </c>
      <c r="E6" s="2">
        <v>1813</v>
      </c>
      <c r="F6" s="2">
        <v>2</v>
      </c>
      <c r="G6" s="2">
        <v>50</v>
      </c>
    </row>
    <row r="7" spans="1:8" x14ac:dyDescent="0.25">
      <c r="A7" s="2">
        <v>6</v>
      </c>
      <c r="B7" s="2" t="s">
        <v>20</v>
      </c>
      <c r="C7" s="2" t="s">
        <v>21</v>
      </c>
      <c r="D7" s="2" t="s">
        <v>22</v>
      </c>
      <c r="E7" s="2">
        <v>2011</v>
      </c>
      <c r="F7" s="2">
        <v>3</v>
      </c>
      <c r="G7" s="2">
        <v>75</v>
      </c>
    </row>
    <row r="8" spans="1:8" x14ac:dyDescent="0.25">
      <c r="A8" s="2">
        <v>7</v>
      </c>
      <c r="B8" s="3">
        <v>1984</v>
      </c>
      <c r="C8" s="2" t="s">
        <v>23</v>
      </c>
      <c r="D8" s="2" t="s">
        <v>14</v>
      </c>
      <c r="E8" s="2">
        <v>1949</v>
      </c>
      <c r="F8" s="2">
        <v>2</v>
      </c>
      <c r="G8" s="2">
        <v>60</v>
      </c>
    </row>
    <row r="9" spans="1:8" x14ac:dyDescent="0.25">
      <c r="A9" s="2">
        <v>8</v>
      </c>
      <c r="B9" s="2" t="s">
        <v>24</v>
      </c>
      <c r="C9" s="2" t="s">
        <v>23</v>
      </c>
      <c r="D9" s="2" t="s">
        <v>17</v>
      </c>
      <c r="E9" s="2">
        <v>1945</v>
      </c>
      <c r="F9" s="2">
        <v>1</v>
      </c>
      <c r="G9" s="2">
        <v>30</v>
      </c>
    </row>
    <row r="10" spans="1:8" x14ac:dyDescent="0.25">
      <c r="A10" s="2">
        <v>9</v>
      </c>
      <c r="B10" s="2" t="s">
        <v>25</v>
      </c>
      <c r="C10" s="2" t="s">
        <v>26</v>
      </c>
      <c r="D10" s="2" t="s">
        <v>27</v>
      </c>
      <c r="E10" s="2">
        <v>2005</v>
      </c>
      <c r="F10" s="2">
        <v>4</v>
      </c>
      <c r="G10" s="2">
        <v>100</v>
      </c>
    </row>
    <row r="11" spans="1:8" x14ac:dyDescent="0.25">
      <c r="A11" s="2">
        <v>10</v>
      </c>
      <c r="B11" s="2" t="s">
        <v>28</v>
      </c>
      <c r="C11" s="2" t="s">
        <v>29</v>
      </c>
      <c r="D11" s="2" t="s">
        <v>30</v>
      </c>
      <c r="E11" s="2">
        <v>2012</v>
      </c>
      <c r="F11" s="2">
        <v>2</v>
      </c>
      <c r="G11" s="2">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267D-BD1B-40B6-A6CC-3E75C93BA819}">
  <dimension ref="A3:D10"/>
  <sheetViews>
    <sheetView workbookViewId="0">
      <selection activeCell="C4" sqref="C4"/>
    </sheetView>
  </sheetViews>
  <sheetFormatPr defaultRowHeight="12.5" x14ac:dyDescent="0.25"/>
  <cols>
    <col min="1" max="1" width="13.90625" bestFit="1" customWidth="1"/>
    <col min="2" max="2" width="21.81640625" bestFit="1" customWidth="1"/>
    <col min="3" max="3" width="22.81640625" bestFit="1" customWidth="1"/>
    <col min="4" max="4" width="25" bestFit="1" customWidth="1"/>
    <col min="5" max="8" width="2.81640625" bestFit="1" customWidth="1"/>
    <col min="9" max="11" width="3.81640625" bestFit="1" customWidth="1"/>
    <col min="12" max="12" width="11.08984375" bestFit="1" customWidth="1"/>
  </cols>
  <sheetData>
    <row r="3" spans="1:4" x14ac:dyDescent="0.25">
      <c r="A3" s="6" t="s">
        <v>31</v>
      </c>
      <c r="B3" t="s">
        <v>34</v>
      </c>
      <c r="C3" t="s">
        <v>36</v>
      </c>
      <c r="D3" t="s">
        <v>37</v>
      </c>
    </row>
    <row r="4" spans="1:4" x14ac:dyDescent="0.25">
      <c r="A4" s="7" t="s">
        <v>17</v>
      </c>
      <c r="B4" s="5">
        <v>7</v>
      </c>
      <c r="C4" s="5">
        <v>175</v>
      </c>
      <c r="D4" s="5">
        <v>58.333333333333336</v>
      </c>
    </row>
    <row r="5" spans="1:4" x14ac:dyDescent="0.25">
      <c r="A5" s="7" t="s">
        <v>14</v>
      </c>
      <c r="B5" s="5">
        <v>5</v>
      </c>
      <c r="C5" s="5">
        <v>140</v>
      </c>
      <c r="D5" s="5">
        <v>70</v>
      </c>
    </row>
    <row r="6" spans="1:4" x14ac:dyDescent="0.25">
      <c r="A6" s="7" t="s">
        <v>9</v>
      </c>
      <c r="B6" s="5">
        <v>13</v>
      </c>
      <c r="C6" s="5">
        <v>270</v>
      </c>
      <c r="D6" s="5">
        <v>135</v>
      </c>
    </row>
    <row r="7" spans="1:4" x14ac:dyDescent="0.25">
      <c r="A7" s="7" t="s">
        <v>27</v>
      </c>
      <c r="B7" s="5">
        <v>4</v>
      </c>
      <c r="C7" s="5">
        <v>100</v>
      </c>
      <c r="D7" s="5">
        <v>100</v>
      </c>
    </row>
    <row r="8" spans="1:4" x14ac:dyDescent="0.25">
      <c r="A8" s="7" t="s">
        <v>30</v>
      </c>
      <c r="B8" s="5">
        <v>2</v>
      </c>
      <c r="C8" s="5">
        <v>45</v>
      </c>
      <c r="D8" s="5">
        <v>45</v>
      </c>
    </row>
    <row r="9" spans="1:4" x14ac:dyDescent="0.25">
      <c r="A9" s="7" t="s">
        <v>22</v>
      </c>
      <c r="B9" s="5">
        <v>3</v>
      </c>
      <c r="C9" s="5">
        <v>75</v>
      </c>
      <c r="D9" s="5">
        <v>75</v>
      </c>
    </row>
    <row r="10" spans="1:4" x14ac:dyDescent="0.25">
      <c r="A10" s="7" t="s">
        <v>32</v>
      </c>
      <c r="B10" s="5">
        <v>34</v>
      </c>
      <c r="C10" s="5">
        <v>805</v>
      </c>
      <c r="D10" s="5">
        <v>80.5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3511-B923-4F1B-855A-C85C200E8DE5}">
  <dimension ref="A3:B14"/>
  <sheetViews>
    <sheetView workbookViewId="0">
      <selection activeCell="K19" sqref="K19"/>
    </sheetView>
  </sheetViews>
  <sheetFormatPr defaultRowHeight="12.5" x14ac:dyDescent="0.25"/>
  <cols>
    <col min="1" max="1" width="13" bestFit="1" customWidth="1"/>
    <col min="2" max="2" width="21.81640625" bestFit="1" customWidth="1"/>
  </cols>
  <sheetData>
    <row r="3" spans="1:2" x14ac:dyDescent="0.25">
      <c r="A3" s="6" t="s">
        <v>31</v>
      </c>
      <c r="B3" t="s">
        <v>35</v>
      </c>
    </row>
    <row r="4" spans="1:2" x14ac:dyDescent="0.25">
      <c r="A4" s="7">
        <v>1813</v>
      </c>
      <c r="B4" s="5">
        <v>50</v>
      </c>
    </row>
    <row r="5" spans="1:2" x14ac:dyDescent="0.25">
      <c r="A5" s="7">
        <v>1945</v>
      </c>
      <c r="B5" s="5">
        <v>30</v>
      </c>
    </row>
    <row r="6" spans="1:2" x14ac:dyDescent="0.25">
      <c r="A6" s="7">
        <v>1949</v>
      </c>
      <c r="B6" s="5">
        <v>60</v>
      </c>
    </row>
    <row r="7" spans="1:2" x14ac:dyDescent="0.25">
      <c r="A7" s="7">
        <v>1954</v>
      </c>
      <c r="B7" s="5">
        <v>120</v>
      </c>
    </row>
    <row r="8" spans="1:2" x14ac:dyDescent="0.25">
      <c r="A8" s="7">
        <v>1960</v>
      </c>
      <c r="B8" s="5">
        <v>95</v>
      </c>
    </row>
    <row r="9" spans="1:2" x14ac:dyDescent="0.25">
      <c r="A9" s="7">
        <v>1997</v>
      </c>
      <c r="B9" s="5">
        <v>150</v>
      </c>
    </row>
    <row r="10" spans="1:2" x14ac:dyDescent="0.25">
      <c r="A10" s="7">
        <v>2005</v>
      </c>
      <c r="B10" s="5">
        <v>100</v>
      </c>
    </row>
    <row r="11" spans="1:2" x14ac:dyDescent="0.25">
      <c r="A11" s="7">
        <v>2008</v>
      </c>
      <c r="B11" s="5">
        <v>80</v>
      </c>
    </row>
    <row r="12" spans="1:2" x14ac:dyDescent="0.25">
      <c r="A12" s="7">
        <v>2011</v>
      </c>
      <c r="B12" s="5">
        <v>75</v>
      </c>
    </row>
    <row r="13" spans="1:2" x14ac:dyDescent="0.25">
      <c r="A13" s="7">
        <v>2012</v>
      </c>
      <c r="B13" s="5">
        <v>45</v>
      </c>
    </row>
    <row r="14" spans="1:2" x14ac:dyDescent="0.25">
      <c r="A14" s="7" t="s">
        <v>32</v>
      </c>
      <c r="B14" s="5">
        <v>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0AE0-3DA1-4527-BE18-5B524C3EF2CB}">
  <dimension ref="A3:H8"/>
  <sheetViews>
    <sheetView tabSelected="1" workbookViewId="0">
      <selection activeCell="B15" sqref="B15"/>
    </sheetView>
  </sheetViews>
  <sheetFormatPr defaultRowHeight="12.5" x14ac:dyDescent="0.25"/>
  <cols>
    <col min="1" max="1" width="21.81640625" bestFit="1" customWidth="1"/>
    <col min="2" max="2" width="15.90625" bestFit="1" customWidth="1"/>
    <col min="3" max="3" width="9.453125" bestFit="1" customWidth="1"/>
    <col min="4" max="4" width="7.6328125" bestFit="1" customWidth="1"/>
    <col min="5" max="5" width="15.36328125" bestFit="1" customWidth="1"/>
    <col min="6" max="6" width="8.81640625" bestFit="1" customWidth="1"/>
    <col min="7" max="7" width="5.6328125" bestFit="1" customWidth="1"/>
    <col min="8" max="8" width="11.08984375" bestFit="1" customWidth="1"/>
    <col min="9" max="11" width="3.81640625" bestFit="1" customWidth="1"/>
    <col min="12" max="12" width="11.08984375" bestFit="1" customWidth="1"/>
    <col min="13" max="13" width="7.7265625" bestFit="1" customWidth="1"/>
    <col min="14" max="14" width="8.90625" bestFit="1" customWidth="1"/>
    <col min="15" max="15" width="7.7265625" bestFit="1" customWidth="1"/>
    <col min="16" max="16" width="7.453125" bestFit="1" customWidth="1"/>
    <col min="18" max="18" width="7.453125" bestFit="1" customWidth="1"/>
    <col min="20" max="20" width="7.453125" bestFit="1" customWidth="1"/>
    <col min="22" max="22" width="11.08984375" bestFit="1" customWidth="1"/>
  </cols>
  <sheetData>
    <row r="3" spans="1:8" x14ac:dyDescent="0.25">
      <c r="A3" s="6" t="s">
        <v>35</v>
      </c>
      <c r="B3" s="6" t="s">
        <v>33</v>
      </c>
    </row>
    <row r="4" spans="1:8" x14ac:dyDescent="0.25">
      <c r="A4" s="6" t="s">
        <v>31</v>
      </c>
      <c r="B4" t="s">
        <v>17</v>
      </c>
      <c r="C4" t="s">
        <v>14</v>
      </c>
      <c r="D4" t="s">
        <v>9</v>
      </c>
      <c r="E4" t="s">
        <v>27</v>
      </c>
      <c r="F4" t="s">
        <v>30</v>
      </c>
      <c r="G4" t="s">
        <v>22</v>
      </c>
      <c r="H4" t="s">
        <v>32</v>
      </c>
    </row>
    <row r="5" spans="1:8" x14ac:dyDescent="0.25">
      <c r="A5" s="7" t="s">
        <v>39</v>
      </c>
      <c r="B5" s="5">
        <v>30</v>
      </c>
      <c r="C5" s="5"/>
      <c r="D5" s="5"/>
      <c r="E5" s="5"/>
      <c r="F5" s="5">
        <v>45</v>
      </c>
      <c r="G5" s="5"/>
      <c r="H5" s="5">
        <v>75</v>
      </c>
    </row>
    <row r="6" spans="1:8" x14ac:dyDescent="0.25">
      <c r="A6" s="7" t="s">
        <v>40</v>
      </c>
      <c r="B6" s="5">
        <v>145</v>
      </c>
      <c r="C6" s="5">
        <v>140</v>
      </c>
      <c r="D6" s="5"/>
      <c r="E6" s="5"/>
      <c r="F6" s="5"/>
      <c r="G6" s="5">
        <v>75</v>
      </c>
      <c r="H6" s="5">
        <v>360</v>
      </c>
    </row>
    <row r="7" spans="1:8" x14ac:dyDescent="0.25">
      <c r="A7" s="7" t="s">
        <v>41</v>
      </c>
      <c r="B7" s="5"/>
      <c r="C7" s="5"/>
      <c r="D7" s="5">
        <v>270</v>
      </c>
      <c r="E7" s="5">
        <v>100</v>
      </c>
      <c r="F7" s="5"/>
      <c r="G7" s="5"/>
      <c r="H7" s="5">
        <v>370</v>
      </c>
    </row>
    <row r="8" spans="1:8" x14ac:dyDescent="0.25">
      <c r="A8" s="7" t="s">
        <v>32</v>
      </c>
      <c r="B8" s="5">
        <v>175</v>
      </c>
      <c r="C8" s="5">
        <v>140</v>
      </c>
      <c r="D8" s="5">
        <v>270</v>
      </c>
      <c r="E8" s="5">
        <v>100</v>
      </c>
      <c r="F8" s="5">
        <v>45</v>
      </c>
      <c r="G8" s="5">
        <v>75</v>
      </c>
      <c r="H8" s="5">
        <v>805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CC4A89-E4C4-4D66-88F0-73397E3811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 1</vt:lpstr>
      <vt:lpstr>Vlookup</vt:lpstr>
      <vt:lpstr>Xlookup</vt:lpstr>
      <vt:lpstr>Index &amp; Match</vt:lpstr>
      <vt:lpstr>IF Formula</vt:lpstr>
      <vt:lpstr>IF&amp; AND</vt:lpstr>
      <vt:lpstr>Remove THE</vt:lpstr>
      <vt:lpstr>CONCATENATE</vt:lpstr>
      <vt:lpstr>Pivot table</vt:lpstr>
      <vt:lpstr>Slicer</vt:lpstr>
      <vt:lpstr>Countif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 Admin</cp:lastModifiedBy>
  <dcterms:created xsi:type="dcterms:W3CDTF">2026-06-17T11:34:06Z</dcterms:created>
  <dcterms:modified xsi:type="dcterms:W3CDTF">2026-06-17T14:17:26Z</dcterms:modified>
</cp:coreProperties>
</file>